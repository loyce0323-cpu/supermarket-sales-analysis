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ADMIN\OneDrive\Documents\"/>
    </mc:Choice>
  </mc:AlternateContent>
  <bookViews>
    <workbookView xWindow="-105" yWindow="-105" windowWidth="23250" windowHeight="12450" firstSheet="2" activeTab="2"/>
  </bookViews>
  <sheets>
    <sheet name="Worksheet" sheetId="3" r:id="rId1"/>
    <sheet name="SuperMarket Sales" sheetId="2" r:id="rId2"/>
    <sheet name="Pivot Table" sheetId="4" r:id="rId3"/>
    <sheet name="Dashboard" sheetId="5" r:id="rId4"/>
  </sheets>
  <definedNames>
    <definedName name="_xlnm._FilterDatabase" localSheetId="0" hidden="1">Worksheet!$A$1:$I$80</definedName>
    <definedName name="Slicer_Customer_Name">#N/A</definedName>
    <definedName name="Slicer_Months">#N/A</definedName>
    <definedName name="Slicer_Net_Revenue">#N/A</definedName>
    <definedName name="Slicer_Order_Date">#N/A</definedName>
    <definedName name="Slicer_Order_No">#N/A</definedName>
    <definedName name="Slicer_Order_Quantity">#N/A</definedName>
    <definedName name="Slicer_Retail_Price__USD">#N/A</definedName>
    <definedName name="Slicer_Ship_Date">#N/A</definedName>
    <definedName name="Slicer_Tax__USD">#N/A</definedName>
    <definedName name="Slicer_Total__USD">#N/A</definedName>
  </definedNames>
  <calcPr calcId="162913"/>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71" i="3" l="1"/>
  <c r="I71" i="3" s="1"/>
  <c r="H71" i="3" s="1"/>
  <c r="G70" i="3"/>
  <c r="I70" i="3" s="1"/>
  <c r="H70" i="3" s="1"/>
  <c r="G69" i="3"/>
  <c r="I69" i="3" s="1"/>
  <c r="H69" i="3" s="1"/>
  <c r="G68" i="3"/>
  <c r="I68" i="3" s="1"/>
  <c r="H68" i="3" s="1"/>
  <c r="G67" i="3"/>
  <c r="I67" i="3" s="1"/>
  <c r="H67" i="3" s="1"/>
  <c r="G66" i="3"/>
  <c r="I66" i="3" s="1"/>
  <c r="H66" i="3" s="1"/>
  <c r="G65" i="3"/>
  <c r="I65" i="3" s="1"/>
  <c r="H65" i="3" s="1"/>
  <c r="G64" i="3"/>
  <c r="I64" i="3" s="1"/>
  <c r="H64" i="3" s="1"/>
  <c r="G63" i="3"/>
  <c r="I63" i="3" s="1"/>
  <c r="H63" i="3" s="1"/>
  <c r="G62" i="3"/>
  <c r="I62" i="3" s="1"/>
  <c r="H62" i="3" s="1"/>
  <c r="G61" i="3"/>
  <c r="I61" i="3" s="1"/>
  <c r="H61" i="3" s="1"/>
  <c r="G60" i="3"/>
  <c r="I60" i="3" s="1"/>
  <c r="H60" i="3" s="1"/>
  <c r="G59" i="3"/>
  <c r="I59" i="3" s="1"/>
  <c r="H59" i="3" s="1"/>
  <c r="G58" i="3"/>
  <c r="I58" i="3" s="1"/>
  <c r="H58" i="3" s="1"/>
  <c r="G57" i="3"/>
  <c r="I57" i="3" s="1"/>
  <c r="H57" i="3" s="1"/>
  <c r="G56" i="3"/>
  <c r="I56" i="3" s="1"/>
  <c r="H56" i="3" s="1"/>
  <c r="G55" i="3"/>
  <c r="I55" i="3" s="1"/>
  <c r="H55" i="3" s="1"/>
  <c r="G54" i="3"/>
  <c r="I54" i="3" s="1"/>
  <c r="H54" i="3" s="1"/>
  <c r="G53" i="3"/>
  <c r="I53" i="3" s="1"/>
  <c r="H53" i="3" s="1"/>
  <c r="G52" i="3"/>
  <c r="I52" i="3" s="1"/>
  <c r="H52" i="3" s="1"/>
  <c r="G51" i="3"/>
  <c r="I51" i="3" s="1"/>
  <c r="H51" i="3" s="1"/>
  <c r="G50" i="3"/>
  <c r="I50" i="3" s="1"/>
  <c r="H50" i="3" s="1"/>
  <c r="G49" i="3"/>
  <c r="I49" i="3" s="1"/>
  <c r="H49" i="3" s="1"/>
  <c r="G48" i="3"/>
  <c r="I48" i="3" s="1"/>
  <c r="H48" i="3" s="1"/>
  <c r="G47" i="3"/>
  <c r="I47" i="3" s="1"/>
  <c r="H47" i="3" s="1"/>
  <c r="G46" i="3"/>
  <c r="I46" i="3" s="1"/>
  <c r="H46" i="3" s="1"/>
  <c r="G45" i="3"/>
  <c r="I45" i="3" s="1"/>
  <c r="H45" i="3" s="1"/>
  <c r="G44" i="3"/>
  <c r="I44" i="3" s="1"/>
  <c r="H44" i="3" s="1"/>
  <c r="G43" i="3"/>
  <c r="I43" i="3" s="1"/>
  <c r="H43" i="3" s="1"/>
  <c r="G42" i="3"/>
  <c r="I42" i="3" s="1"/>
  <c r="H42" i="3" s="1"/>
  <c r="G41" i="3"/>
  <c r="I41" i="3" s="1"/>
  <c r="H41" i="3" s="1"/>
  <c r="G40" i="3"/>
  <c r="I40" i="3" s="1"/>
  <c r="H40" i="3" s="1"/>
  <c r="G39" i="3"/>
  <c r="I39" i="3" s="1"/>
  <c r="H39" i="3" s="1"/>
  <c r="G38" i="3"/>
  <c r="I38" i="3" s="1"/>
  <c r="H38" i="3" s="1"/>
  <c r="G37" i="3"/>
  <c r="I37" i="3" s="1"/>
  <c r="H37" i="3" s="1"/>
  <c r="G36" i="3"/>
  <c r="I36" i="3" s="1"/>
  <c r="H36" i="3" s="1"/>
  <c r="G35" i="3"/>
  <c r="I35" i="3" s="1"/>
  <c r="H35" i="3" s="1"/>
  <c r="G34" i="3"/>
  <c r="I34" i="3" s="1"/>
  <c r="H34" i="3" s="1"/>
  <c r="G33" i="3"/>
  <c r="I33" i="3" s="1"/>
  <c r="H33" i="3" s="1"/>
  <c r="G32" i="3"/>
  <c r="I32" i="3" s="1"/>
  <c r="H32" i="3" s="1"/>
  <c r="G31" i="3"/>
  <c r="I31" i="3" s="1"/>
  <c r="H31" i="3" s="1"/>
  <c r="G30" i="3"/>
  <c r="I30" i="3" s="1"/>
  <c r="H30" i="3" s="1"/>
  <c r="G29" i="3"/>
  <c r="I29" i="3" s="1"/>
  <c r="H29" i="3" s="1"/>
  <c r="G28" i="3"/>
  <c r="I28" i="3" s="1"/>
  <c r="H28" i="3" s="1"/>
  <c r="G27" i="3"/>
  <c r="I27" i="3" s="1"/>
  <c r="H27" i="3" s="1"/>
  <c r="G26" i="3"/>
  <c r="I26" i="3" s="1"/>
  <c r="H26" i="3" s="1"/>
  <c r="G25" i="3"/>
  <c r="I25" i="3" s="1"/>
  <c r="H25" i="3" s="1"/>
  <c r="G24" i="3"/>
  <c r="I24" i="3" s="1"/>
  <c r="H24" i="3" s="1"/>
  <c r="G23" i="3"/>
  <c r="I23" i="3" s="1"/>
  <c r="H23" i="3" s="1"/>
  <c r="G22" i="3"/>
  <c r="I22" i="3" s="1"/>
  <c r="H22" i="3" s="1"/>
  <c r="G21" i="3"/>
  <c r="I21" i="3" s="1"/>
  <c r="H21" i="3" s="1"/>
  <c r="G20" i="3"/>
  <c r="I20" i="3" s="1"/>
  <c r="H20" i="3" s="1"/>
  <c r="G19" i="3"/>
  <c r="I19" i="3" s="1"/>
  <c r="H19" i="3" s="1"/>
  <c r="G18" i="3"/>
  <c r="I18" i="3" s="1"/>
  <c r="H18" i="3" s="1"/>
  <c r="G17" i="3"/>
  <c r="I17" i="3" s="1"/>
  <c r="H17" i="3" s="1"/>
  <c r="G16" i="3"/>
  <c r="I16" i="3" s="1"/>
  <c r="H16" i="3" s="1"/>
  <c r="G15" i="3"/>
  <c r="I15" i="3" s="1"/>
  <c r="H15" i="3" s="1"/>
  <c r="G14" i="3"/>
  <c r="I14" i="3" s="1"/>
  <c r="H14" i="3" s="1"/>
  <c r="G13" i="3"/>
  <c r="I13" i="3" s="1"/>
  <c r="H13" i="3" s="1"/>
  <c r="G12" i="3"/>
  <c r="I12" i="3" s="1"/>
  <c r="H12" i="3" s="1"/>
  <c r="G11" i="3"/>
  <c r="I11" i="3" s="1"/>
  <c r="H11" i="3" s="1"/>
  <c r="G10" i="3"/>
  <c r="I10" i="3" s="1"/>
  <c r="H10" i="3" s="1"/>
  <c r="G9" i="3"/>
  <c r="I9" i="3" s="1"/>
  <c r="H9" i="3" s="1"/>
  <c r="G8" i="3"/>
  <c r="I8" i="3" s="1"/>
  <c r="H8" i="3" s="1"/>
  <c r="G7" i="3"/>
  <c r="I7" i="3" s="1"/>
  <c r="H7" i="3" s="1"/>
  <c r="G6" i="3"/>
  <c r="I6" i="3" s="1"/>
  <c r="H6" i="3" s="1"/>
  <c r="G5" i="3"/>
  <c r="I5" i="3" s="1"/>
  <c r="H5" i="3" s="1"/>
  <c r="G4" i="3"/>
  <c r="I4" i="3" s="1"/>
  <c r="H4" i="3" s="1"/>
  <c r="G3" i="3"/>
  <c r="I3" i="3" s="1"/>
  <c r="H3" i="3" s="1"/>
  <c r="G2" i="3"/>
  <c r="I2" i="3" s="1"/>
  <c r="H2" i="3" s="1"/>
  <c r="H78" i="2"/>
  <c r="G78" i="2"/>
  <c r="H77" i="2"/>
  <c r="G77" i="2"/>
  <c r="H76" i="2"/>
  <c r="G76" i="2"/>
  <c r="H75" i="2"/>
  <c r="G75" i="2"/>
  <c r="H74" i="2"/>
  <c r="G74" i="2"/>
  <c r="H73" i="2"/>
  <c r="G73" i="2"/>
  <c r="H72" i="2"/>
  <c r="G72" i="2"/>
  <c r="H71" i="2"/>
  <c r="G71" i="2"/>
  <c r="H70" i="2"/>
  <c r="G70" i="2"/>
  <c r="H69" i="2"/>
  <c r="G69" i="2"/>
  <c r="H68" i="2"/>
  <c r="G68" i="2"/>
  <c r="H67" i="2"/>
  <c r="G67" i="2"/>
  <c r="H66" i="2"/>
  <c r="G66" i="2"/>
  <c r="H65" i="2"/>
  <c r="G65" i="2"/>
  <c r="H64" i="2"/>
  <c r="G64" i="2"/>
  <c r="H63" i="2"/>
  <c r="G63" i="2"/>
  <c r="H62" i="2"/>
  <c r="G62" i="2"/>
  <c r="H61" i="2"/>
  <c r="G61" i="2"/>
  <c r="H60" i="2"/>
  <c r="G60" i="2"/>
  <c r="H59" i="2"/>
  <c r="G59" i="2"/>
  <c r="H58" i="2"/>
  <c r="G58" i="2"/>
  <c r="H57" i="2"/>
  <c r="G57" i="2"/>
  <c r="H56" i="2"/>
  <c r="G56" i="2"/>
  <c r="H55" i="2"/>
  <c r="G55" i="2"/>
  <c r="H54" i="2"/>
  <c r="G54" i="2"/>
  <c r="H53" i="2"/>
  <c r="G53" i="2"/>
  <c r="H52" i="2"/>
  <c r="G52" i="2"/>
  <c r="H51" i="2"/>
  <c r="G51" i="2"/>
  <c r="H50" i="2"/>
  <c r="G50" i="2"/>
  <c r="H49" i="2"/>
  <c r="G49" i="2"/>
  <c r="H48" i="2"/>
  <c r="G48" i="2"/>
  <c r="H47" i="2"/>
  <c r="G47" i="2"/>
  <c r="H46" i="2"/>
  <c r="G46" i="2"/>
  <c r="H45" i="2"/>
  <c r="G45" i="2"/>
  <c r="H44" i="2"/>
  <c r="G44" i="2"/>
  <c r="H43" i="2"/>
  <c r="G43" i="2"/>
  <c r="H42" i="2"/>
  <c r="G42" i="2"/>
  <c r="H41" i="2"/>
  <c r="G41" i="2"/>
  <c r="H40" i="2"/>
  <c r="G40" i="2"/>
  <c r="H39" i="2"/>
  <c r="G39" i="2"/>
  <c r="H38" i="2"/>
  <c r="G38" i="2"/>
  <c r="H37" i="2"/>
  <c r="G37" i="2"/>
  <c r="H36" i="2"/>
  <c r="G36" i="2"/>
  <c r="H35" i="2"/>
  <c r="G35" i="2"/>
  <c r="H34" i="2"/>
  <c r="G34" i="2"/>
  <c r="H33" i="2"/>
  <c r="G33" i="2"/>
  <c r="H32" i="2"/>
  <c r="G32" i="2"/>
  <c r="H31" i="2"/>
  <c r="G31" i="2"/>
  <c r="H30" i="2"/>
  <c r="G30" i="2"/>
  <c r="H29" i="2"/>
  <c r="G29" i="2"/>
  <c r="H28" i="2"/>
  <c r="G28" i="2"/>
  <c r="H27" i="2"/>
  <c r="G27" i="2"/>
  <c r="H26" i="2"/>
  <c r="G26" i="2"/>
  <c r="H25" i="2"/>
  <c r="G25" i="2"/>
  <c r="H24" i="2"/>
  <c r="G24" i="2"/>
  <c r="H23" i="2"/>
  <c r="G23" i="2"/>
  <c r="H22" i="2"/>
  <c r="G22" i="2"/>
  <c r="H21" i="2"/>
  <c r="G21" i="2"/>
  <c r="H20" i="2"/>
  <c r="G20" i="2"/>
  <c r="H19" i="2"/>
  <c r="G19" i="2"/>
  <c r="H18" i="2"/>
  <c r="G18" i="2"/>
  <c r="H17" i="2"/>
  <c r="G17" i="2"/>
  <c r="H16" i="2"/>
  <c r="G16" i="2"/>
  <c r="H15" i="2"/>
  <c r="G15" i="2"/>
  <c r="H14" i="2"/>
  <c r="G14" i="2"/>
  <c r="H13" i="2"/>
  <c r="G13" i="2"/>
  <c r="H12" i="2"/>
  <c r="G12" i="2"/>
  <c r="H11" i="2"/>
  <c r="G11" i="2"/>
  <c r="H10" i="2"/>
  <c r="G10" i="2"/>
  <c r="H9" i="2"/>
  <c r="G9" i="2"/>
</calcChain>
</file>

<file path=xl/sharedStrings.xml><?xml version="1.0" encoding="utf-8"?>
<sst xmlns="http://schemas.openxmlformats.org/spreadsheetml/2006/main" count="1388" uniqueCount="161">
  <si>
    <t>Excel Sample Data</t>
  </si>
  <si>
    <t>Supermarket Sales Data</t>
  </si>
  <si>
    <t>Tax</t>
  </si>
  <si>
    <t>Order No</t>
  </si>
  <si>
    <t>Order Date</t>
  </si>
  <si>
    <t>Customer Name</t>
  </si>
  <si>
    <t>Ship Date</t>
  </si>
  <si>
    <t>Retail Price (USD)</t>
  </si>
  <si>
    <t>Order Quantity</t>
  </si>
  <si>
    <t>Tax (USD)</t>
  </si>
  <si>
    <t>Total (USD)</t>
  </si>
  <si>
    <t>1001</t>
  </si>
  <si>
    <t>John Smith</t>
  </si>
  <si>
    <t>1002</t>
  </si>
  <si>
    <t>Jane Doe</t>
  </si>
  <si>
    <t>1003</t>
  </si>
  <si>
    <t>Michael Johnson</t>
  </si>
  <si>
    <t>1004</t>
  </si>
  <si>
    <t>Emily Brown</t>
  </si>
  <si>
    <t>1005</t>
  </si>
  <si>
    <t>David Wilson</t>
  </si>
  <si>
    <t>1006</t>
  </si>
  <si>
    <t>Lisa Taylor</t>
  </si>
  <si>
    <t>1007</t>
  </si>
  <si>
    <t>Daniel Martinez</t>
  </si>
  <si>
    <t>1008</t>
  </si>
  <si>
    <t>Sarah Anderson</t>
  </si>
  <si>
    <t>1009</t>
  </si>
  <si>
    <t>Christopher Thomas</t>
  </si>
  <si>
    <t>1010</t>
  </si>
  <si>
    <t>Kimberly Garcia</t>
  </si>
  <si>
    <t>1011</t>
  </si>
  <si>
    <t>William Hernandez</t>
  </si>
  <si>
    <t>1012</t>
  </si>
  <si>
    <t>Melissa Lopez</t>
  </si>
  <si>
    <t>1013</t>
  </si>
  <si>
    <t>Richard Perez</t>
  </si>
  <si>
    <t>1014</t>
  </si>
  <si>
    <t>Jessica Gonzalez</t>
  </si>
  <si>
    <t>1015</t>
  </si>
  <si>
    <t>Matthew Wilson</t>
  </si>
  <si>
    <t>1016</t>
  </si>
  <si>
    <t>Amanda Martinez</t>
  </si>
  <si>
    <t>1017</t>
  </si>
  <si>
    <t>James Johnson</t>
  </si>
  <si>
    <t>1018</t>
  </si>
  <si>
    <t>Laura Brown</t>
  </si>
  <si>
    <t>1019</t>
  </si>
  <si>
    <t>Daniel Smith</t>
  </si>
  <si>
    <t>1020</t>
  </si>
  <si>
    <t>Jennifer Davis</t>
  </si>
  <si>
    <t>1021</t>
  </si>
  <si>
    <t>Michael Garcia</t>
  </si>
  <si>
    <t>1022</t>
  </si>
  <si>
    <t>Amy Hernandez</t>
  </si>
  <si>
    <t>1023</t>
  </si>
  <si>
    <t>Christopher Rodriguez</t>
  </si>
  <si>
    <t>1024</t>
  </si>
  <si>
    <t>Jessica Martinez</t>
  </si>
  <si>
    <t>1025</t>
  </si>
  <si>
    <t>1026</t>
  </si>
  <si>
    <t>Sarah Smith</t>
  </si>
  <si>
    <t>1027</t>
  </si>
  <si>
    <t>Matthew Johnson</t>
  </si>
  <si>
    <t>1028</t>
  </si>
  <si>
    <t>Emily Davis</t>
  </si>
  <si>
    <t>1029</t>
  </si>
  <si>
    <t>Daniel Wilson</t>
  </si>
  <si>
    <t>1030</t>
  </si>
  <si>
    <t>Jennifer Martinez</t>
  </si>
  <si>
    <t>1031</t>
  </si>
  <si>
    <t>Michael Smith</t>
  </si>
  <si>
    <t>1032</t>
  </si>
  <si>
    <t>Jessica Johnson</t>
  </si>
  <si>
    <t>1033</t>
  </si>
  <si>
    <t>David Brown</t>
  </si>
  <si>
    <t>1034</t>
  </si>
  <si>
    <t>Sarah Garcia</t>
  </si>
  <si>
    <t>1035</t>
  </si>
  <si>
    <t>Matthew Hernandez</t>
  </si>
  <si>
    <t>1036</t>
  </si>
  <si>
    <t>Emily Rodriguez</t>
  </si>
  <si>
    <t>1037</t>
  </si>
  <si>
    <t>Daniel Davis</t>
  </si>
  <si>
    <t>1038</t>
  </si>
  <si>
    <t>Jennifer Smith</t>
  </si>
  <si>
    <t>1039</t>
  </si>
  <si>
    <t>1040</t>
  </si>
  <si>
    <t>1041</t>
  </si>
  <si>
    <t>1042</t>
  </si>
  <si>
    <t>Sarah Johnson</t>
  </si>
  <si>
    <t>1043</t>
  </si>
  <si>
    <t>Matthew Garcia</t>
  </si>
  <si>
    <t>1044</t>
  </si>
  <si>
    <t>1045</t>
  </si>
  <si>
    <t>Daniel Hernandez</t>
  </si>
  <si>
    <t>1046</t>
  </si>
  <si>
    <t>1047</t>
  </si>
  <si>
    <t>Michael Martinez</t>
  </si>
  <si>
    <t>1048</t>
  </si>
  <si>
    <t>Jessica Wilson</t>
  </si>
  <si>
    <t>1049</t>
  </si>
  <si>
    <t>David Rodriguez</t>
  </si>
  <si>
    <t>1050</t>
  </si>
  <si>
    <t>Sarah Gonzalez</t>
  </si>
  <si>
    <t>1051</t>
  </si>
  <si>
    <t>Matthew Smith</t>
  </si>
  <si>
    <t>1052</t>
  </si>
  <si>
    <t>Emily Johnson</t>
  </si>
  <si>
    <t>1053</t>
  </si>
  <si>
    <t>Daniel Brown</t>
  </si>
  <si>
    <t>1054</t>
  </si>
  <si>
    <t>Jennifer Hernandez</t>
  </si>
  <si>
    <t>1055</t>
  </si>
  <si>
    <t>Michael Davis</t>
  </si>
  <si>
    <t>1056</t>
  </si>
  <si>
    <t>Jessica Smith</t>
  </si>
  <si>
    <t>1057</t>
  </si>
  <si>
    <t>David Martinez</t>
  </si>
  <si>
    <t>1058</t>
  </si>
  <si>
    <t>1059</t>
  </si>
  <si>
    <t>1060</t>
  </si>
  <si>
    <t>1061</t>
  </si>
  <si>
    <t>1062</t>
  </si>
  <si>
    <t>1063</t>
  </si>
  <si>
    <t>1064</t>
  </si>
  <si>
    <t>1065</t>
  </si>
  <si>
    <t>1066</t>
  </si>
  <si>
    <t>1067</t>
  </si>
  <si>
    <t>1068</t>
  </si>
  <si>
    <t>1069</t>
  </si>
  <si>
    <t>1070</t>
  </si>
  <si>
    <t>Row Labels</t>
  </si>
  <si>
    <t>Grand Total</t>
  </si>
  <si>
    <t>Jan</t>
  </si>
  <si>
    <t>Feb</t>
  </si>
  <si>
    <t>Sum of Order Quantity</t>
  </si>
  <si>
    <t>Sum of Total (USD)</t>
  </si>
  <si>
    <t>Column Labels</t>
  </si>
  <si>
    <t>Sum of Tax (USD)</t>
  </si>
  <si>
    <t>Net Revenue</t>
  </si>
  <si>
    <t>Sum of Net Revenue</t>
  </si>
  <si>
    <t>Count of Order No</t>
  </si>
  <si>
    <t>&lt;1/1/2024</t>
  </si>
  <si>
    <t>Average of Retail Price (USD)</t>
  </si>
  <si>
    <t>&lt;1/3/2024</t>
  </si>
  <si>
    <t>9.998</t>
  </si>
  <si>
    <t>2.999</t>
  </si>
  <si>
    <t>29.997</t>
  </si>
  <si>
    <t>7.996</t>
  </si>
  <si>
    <t>14.999</t>
  </si>
  <si>
    <t>15.998</t>
  </si>
  <si>
    <t>11.997</t>
  </si>
  <si>
    <t>13.998</t>
  </si>
  <si>
    <t>8.999</t>
  </si>
  <si>
    <t>19.999</t>
  </si>
  <si>
    <t>14.995</t>
  </si>
  <si>
    <t>14.997</t>
  </si>
  <si>
    <t>12.999</t>
  </si>
  <si>
    <t>1.999</t>
  </si>
  <si>
    <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</si>
</sst>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9">
    <font>
      <sz val="11"/>
      <color theme="1"/>
      <name val="Aptos Narrow"/>
      <family val="2"/>
      <scheme val="minor"/>
    </font>
    <font>
      <sz val="11"/>
      <color theme="1"/>
      <name val="Aptos Narrow"/>
      <family val="2"/>
      <scheme val="minor"/>
    </font>
    <font>
      <b/>
      <sz val="14"/>
      <color rgb="FF272760"/>
      <name val="Calibri"/>
      <family val="2"/>
    </font>
    <font>
      <sz val="11"/>
      <color theme="1"/>
      <name val="Calibri"/>
      <family val="2"/>
    </font>
    <font>
      <b/>
      <sz val="13"/>
      <color rgb="FF272760"/>
      <name val="Calibri"/>
      <family val="2"/>
    </font>
    <font>
      <b/>
      <sz val="12"/>
      <color rgb="FFFFFFFF"/>
      <name val="Calibri"/>
      <family val="2"/>
    </font>
    <font>
      <sz val="11"/>
      <color rgb="FF000000"/>
      <name val="Calibri"/>
      <family val="2"/>
    </font>
    <font>
      <b/>
      <sz val="12"/>
      <name val="Calibri"/>
      <family val="2"/>
    </font>
    <font>
      <sz val="11"/>
      <name val="Calibri"/>
      <family val="2"/>
    </font>
  </fonts>
  <fills count="5">
    <fill>
      <patternFill patternType="none"/>
    </fill>
    <fill>
      <patternFill patternType="gray125"/>
    </fill>
    <fill>
      <patternFill patternType="solid">
        <fgColor rgb="FFD9E1F2"/>
        <bgColor indexed="64"/>
      </patternFill>
    </fill>
    <fill>
      <patternFill patternType="solid">
        <fgColor rgb="FF272760"/>
        <bgColor indexed="64"/>
      </patternFill>
    </fill>
    <fill>
      <patternFill patternType="solid">
        <fgColor theme="5" tint="0.79998168889431442"/>
        <bgColor indexed="64"/>
      </patternFill>
    </fill>
  </fills>
  <borders count="4">
    <border>
      <left/>
      <right/>
      <top/>
      <bottom/>
      <diagonal/>
    </border>
    <border>
      <left/>
      <right/>
      <top/>
      <bottom style="medium">
        <color rgb="FF272760"/>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2" fillId="2" borderId="1" xfId="0" applyFont="1" applyFill="1" applyBorder="1" applyAlignment="1">
      <alignment horizontal="centerContinuous" vertical="center"/>
    </xf>
    <xf numFmtId="0" fontId="3" fillId="0" borderId="0" xfId="0" applyFont="1"/>
    <xf numFmtId="0" fontId="4" fillId="2" borderId="1" xfId="0" applyFont="1" applyFill="1" applyBorder="1" applyAlignment="1">
      <alignment horizontal="centerContinuous" vertical="center"/>
    </xf>
    <xf numFmtId="0" fontId="5" fillId="3" borderId="2" xfId="0" applyFont="1" applyFill="1" applyBorder="1" applyAlignment="1">
      <alignment horizontal="center" vertical="center"/>
    </xf>
    <xf numFmtId="9" fontId="6" fillId="0" borderId="2" xfId="1" applyFont="1" applyBorder="1" applyAlignment="1">
      <alignment vertical="center"/>
    </xf>
    <xf numFmtId="0" fontId="5" fillId="3" borderId="3" xfId="0" applyFont="1" applyFill="1" applyBorder="1" applyAlignment="1">
      <alignment horizontal="center" vertical="center"/>
    </xf>
    <xf numFmtId="0" fontId="6" fillId="0" borderId="2" xfId="0" applyFont="1" applyBorder="1" applyAlignment="1">
      <alignment vertical="center"/>
    </xf>
    <xf numFmtId="14" fontId="6" fillId="0" borderId="2" xfId="0" applyNumberFormat="1" applyFont="1" applyBorder="1" applyAlignment="1">
      <alignment vertical="center"/>
    </xf>
    <xf numFmtId="14" fontId="3" fillId="0" borderId="0" xfId="0" applyNumberFormat="1" applyFont="1"/>
    <xf numFmtId="0" fontId="7" fillId="0" borderId="2" xfId="0" applyFont="1" applyFill="1" applyBorder="1" applyAlignment="1">
      <alignment horizontal="center" vertical="center"/>
    </xf>
    <xf numFmtId="0" fontId="8" fillId="0" borderId="0" xfId="0" applyFont="1" applyFill="1"/>
    <xf numFmtId="164" fontId="7" fillId="0" borderId="2" xfId="0" applyNumberFormat="1" applyFont="1" applyFill="1" applyBorder="1" applyAlignment="1">
      <alignment horizontal="center" vertical="center"/>
    </xf>
    <xf numFmtId="164" fontId="7" fillId="0" borderId="3" xfId="0" applyNumberFormat="1" applyFont="1" applyFill="1" applyBorder="1" applyAlignment="1">
      <alignment horizontal="center" vertical="center"/>
    </xf>
    <xf numFmtId="164" fontId="6" fillId="0" borderId="2" xfId="0" applyNumberFormat="1" applyFont="1" applyBorder="1" applyAlignment="1">
      <alignment vertical="center"/>
    </xf>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left"/>
    </xf>
    <xf numFmtId="0" fontId="0" fillId="4" borderId="0" xfId="0" applyFill="1"/>
    <xf numFmtId="0" fontId="0" fillId="4" borderId="0" xfId="0" applyFill="1" applyAlignment="1"/>
    <xf numFmtId="0" fontId="0" fillId="4" borderId="0" xfId="0" applyFill="1" applyAlignment="1">
      <alignment horizontal="center"/>
    </xf>
    <xf numFmtId="14" fontId="0" fillId="0" borderId="0" xfId="0" applyNumberFormat="1" applyAlignment="1" applyProtection="1">
      <alignment vertical="center"/>
    </xf>
    <xf numFmtId="4" fontId="0" fillId="0" borderId="0" xfId="0" applyNumberFormat="1" applyAlignment="1" applyProtection="1">
      <alignmen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0.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microsoft.com/office/2007/relationships/slicerCache" Target="slicerCaches/slicerCache9.xml"/><Relationship Id="rId10" Type="http://schemas.microsoft.com/office/2007/relationships/slicerCache" Target="slicerCaches/slicerCache4.xml"/><Relationship Id="rId19" Type="http://schemas.openxmlformats.org/officeDocument/2006/relationships/sharedStrings" Target="sharedStrings.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Sales.csv.xlsx]Pivot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customer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stacked"/>
        <c:varyColors val="0"/>
        <c:ser>
          <c:idx val="0"/>
          <c:order val="0"/>
          <c:tx>
            <c:strRef>
              <c:f>'Pivot Table'!$B$3:$B$4</c:f>
              <c:strCache>
                <c:ptCount val="1"/>
                <c:pt idx="0">
                  <c:v>1</c:v>
                </c:pt>
              </c:strCache>
            </c:strRef>
          </c:tx>
          <c:spPr>
            <a:solidFill>
              <a:schemeClr val="accent1"/>
            </a:solidFill>
            <a:ln>
              <a:noFill/>
            </a:ln>
            <a:effectLst/>
          </c:spPr>
          <c:invertIfNegative val="0"/>
          <c:cat>
            <c:strRef>
              <c:f>'Pivot Table'!$A$5:$A$56</c:f>
              <c:strCache>
                <c:ptCount val="51"/>
                <c:pt idx="0">
                  <c:v>Amanda Martinez</c:v>
                </c:pt>
                <c:pt idx="1">
                  <c:v>Amy Hernandez</c:v>
                </c:pt>
                <c:pt idx="2">
                  <c:v>Christopher Rodriguez</c:v>
                </c:pt>
                <c:pt idx="3">
                  <c:v>Christopher Thomas</c:v>
                </c:pt>
                <c:pt idx="4">
                  <c:v>Daniel Brown</c:v>
                </c:pt>
                <c:pt idx="5">
                  <c:v>Daniel Davis</c:v>
                </c:pt>
                <c:pt idx="6">
                  <c:v>Daniel Hernandez</c:v>
                </c:pt>
                <c:pt idx="7">
                  <c:v>Daniel Martinez</c:v>
                </c:pt>
                <c:pt idx="8">
                  <c:v>Daniel Smith</c:v>
                </c:pt>
                <c:pt idx="9">
                  <c:v>Daniel Wilson</c:v>
                </c:pt>
                <c:pt idx="10">
                  <c:v>David Brown</c:v>
                </c:pt>
                <c:pt idx="11">
                  <c:v>David Martinez</c:v>
                </c:pt>
                <c:pt idx="12">
                  <c:v>David Rodriguez</c:v>
                </c:pt>
                <c:pt idx="13">
                  <c:v>David Wilson</c:v>
                </c:pt>
                <c:pt idx="14">
                  <c:v>Emily Brown</c:v>
                </c:pt>
                <c:pt idx="15">
                  <c:v>Emily Davis</c:v>
                </c:pt>
                <c:pt idx="16">
                  <c:v>Emily Johnson</c:v>
                </c:pt>
                <c:pt idx="17">
                  <c:v>Emily Rodriguez</c:v>
                </c:pt>
                <c:pt idx="18">
                  <c:v>James Johnson</c:v>
                </c:pt>
                <c:pt idx="19">
                  <c:v>Jane Doe</c:v>
                </c:pt>
                <c:pt idx="20">
                  <c:v>Jennifer Davis</c:v>
                </c:pt>
                <c:pt idx="21">
                  <c:v>Jennifer Hernandez</c:v>
                </c:pt>
                <c:pt idx="22">
                  <c:v>Jennifer Martinez</c:v>
                </c:pt>
                <c:pt idx="23">
                  <c:v>Jennifer Smith</c:v>
                </c:pt>
                <c:pt idx="24">
                  <c:v>Jessica Gonzalez</c:v>
                </c:pt>
                <c:pt idx="25">
                  <c:v>Jessica Johnson</c:v>
                </c:pt>
                <c:pt idx="26">
                  <c:v>Jessica Martinez</c:v>
                </c:pt>
                <c:pt idx="27">
                  <c:v>Jessica Smith</c:v>
                </c:pt>
                <c:pt idx="28">
                  <c:v>Jessica Wilson</c:v>
                </c:pt>
                <c:pt idx="29">
                  <c:v>John Smith</c:v>
                </c:pt>
                <c:pt idx="30">
                  <c:v>Kimberly Garcia</c:v>
                </c:pt>
                <c:pt idx="31">
                  <c:v>Laura Brown</c:v>
                </c:pt>
                <c:pt idx="32">
                  <c:v>Lisa Taylor</c:v>
                </c:pt>
                <c:pt idx="33">
                  <c:v>Matthew Garcia</c:v>
                </c:pt>
                <c:pt idx="34">
                  <c:v>Matthew Hernandez</c:v>
                </c:pt>
                <c:pt idx="35">
                  <c:v>Matthew Johnson</c:v>
                </c:pt>
                <c:pt idx="36">
                  <c:v>Matthew Smith</c:v>
                </c:pt>
                <c:pt idx="37">
                  <c:v>Matthew Wilson</c:v>
                </c:pt>
                <c:pt idx="38">
                  <c:v>Melissa Lopez</c:v>
                </c:pt>
                <c:pt idx="39">
                  <c:v>Michael Davis</c:v>
                </c:pt>
                <c:pt idx="40">
                  <c:v>Michael Garcia</c:v>
                </c:pt>
                <c:pt idx="41">
                  <c:v>Michael Johnson</c:v>
                </c:pt>
                <c:pt idx="42">
                  <c:v>Michael Martinez</c:v>
                </c:pt>
                <c:pt idx="43">
                  <c:v>Michael Smith</c:v>
                </c:pt>
                <c:pt idx="44">
                  <c:v>Richard Perez</c:v>
                </c:pt>
                <c:pt idx="45">
                  <c:v>Sarah Anderson</c:v>
                </c:pt>
                <c:pt idx="46">
                  <c:v>Sarah Garcia</c:v>
                </c:pt>
                <c:pt idx="47">
                  <c:v>Sarah Gonzalez</c:v>
                </c:pt>
                <c:pt idx="48">
                  <c:v>Sarah Johnson</c:v>
                </c:pt>
                <c:pt idx="49">
                  <c:v>Sarah Smith</c:v>
                </c:pt>
                <c:pt idx="50">
                  <c:v>William Hernandez</c:v>
                </c:pt>
              </c:strCache>
            </c:strRef>
          </c:cat>
          <c:val>
            <c:numRef>
              <c:f>'Pivot Table'!$B$5:$B$56</c:f>
              <c:numCache>
                <c:formatCode>General</c:formatCode>
                <c:ptCount val="51"/>
                <c:pt idx="0">
                  <c:v>164.989</c:v>
                </c:pt>
                <c:pt idx="2">
                  <c:v>142.989</c:v>
                </c:pt>
                <c:pt idx="3">
                  <c:v>98.989000000000004</c:v>
                </c:pt>
                <c:pt idx="5">
                  <c:v>219.989</c:v>
                </c:pt>
                <c:pt idx="6">
                  <c:v>164.989</c:v>
                </c:pt>
                <c:pt idx="8">
                  <c:v>219.989</c:v>
                </c:pt>
                <c:pt idx="13">
                  <c:v>472.96699999999998</c:v>
                </c:pt>
                <c:pt idx="15">
                  <c:v>219.989</c:v>
                </c:pt>
                <c:pt idx="16">
                  <c:v>307.97800000000001</c:v>
                </c:pt>
                <c:pt idx="19">
                  <c:v>32.988999999999997</c:v>
                </c:pt>
                <c:pt idx="20">
                  <c:v>219.989</c:v>
                </c:pt>
                <c:pt idx="21">
                  <c:v>164.989</c:v>
                </c:pt>
                <c:pt idx="24">
                  <c:v>142.989</c:v>
                </c:pt>
                <c:pt idx="25">
                  <c:v>142.989</c:v>
                </c:pt>
                <c:pt idx="28">
                  <c:v>219.989</c:v>
                </c:pt>
                <c:pt idx="30">
                  <c:v>219.989</c:v>
                </c:pt>
                <c:pt idx="33">
                  <c:v>307.97800000000001</c:v>
                </c:pt>
                <c:pt idx="39">
                  <c:v>219.989</c:v>
                </c:pt>
                <c:pt idx="46">
                  <c:v>164.989</c:v>
                </c:pt>
                <c:pt idx="47">
                  <c:v>142.989</c:v>
                </c:pt>
              </c:numCache>
            </c:numRef>
          </c:val>
          <c:extLst>
            <c:ext xmlns:c16="http://schemas.microsoft.com/office/drawing/2014/chart" uri="{C3380CC4-5D6E-409C-BE32-E72D297353CC}">
              <c16:uniqueId val="{00000000-C394-4146-B8C1-02244251CA9F}"/>
            </c:ext>
          </c:extLst>
        </c:ser>
        <c:ser>
          <c:idx val="1"/>
          <c:order val="1"/>
          <c:tx>
            <c:strRef>
              <c:f>'Pivot Table'!$C$3:$C$4</c:f>
              <c:strCache>
                <c:ptCount val="1"/>
                <c:pt idx="0">
                  <c:v>2</c:v>
                </c:pt>
              </c:strCache>
            </c:strRef>
          </c:tx>
          <c:spPr>
            <a:solidFill>
              <a:schemeClr val="accent2"/>
            </a:solidFill>
            <a:ln>
              <a:noFill/>
            </a:ln>
            <a:effectLst/>
          </c:spPr>
          <c:invertIfNegative val="0"/>
          <c:cat>
            <c:strRef>
              <c:f>'Pivot Table'!$A$5:$A$56</c:f>
              <c:strCache>
                <c:ptCount val="51"/>
                <c:pt idx="0">
                  <c:v>Amanda Martinez</c:v>
                </c:pt>
                <c:pt idx="1">
                  <c:v>Amy Hernandez</c:v>
                </c:pt>
                <c:pt idx="2">
                  <c:v>Christopher Rodriguez</c:v>
                </c:pt>
                <c:pt idx="3">
                  <c:v>Christopher Thomas</c:v>
                </c:pt>
                <c:pt idx="4">
                  <c:v>Daniel Brown</c:v>
                </c:pt>
                <c:pt idx="5">
                  <c:v>Daniel Davis</c:v>
                </c:pt>
                <c:pt idx="6">
                  <c:v>Daniel Hernandez</c:v>
                </c:pt>
                <c:pt idx="7">
                  <c:v>Daniel Martinez</c:v>
                </c:pt>
                <c:pt idx="8">
                  <c:v>Daniel Smith</c:v>
                </c:pt>
                <c:pt idx="9">
                  <c:v>Daniel Wilson</c:v>
                </c:pt>
                <c:pt idx="10">
                  <c:v>David Brown</c:v>
                </c:pt>
                <c:pt idx="11">
                  <c:v>David Martinez</c:v>
                </c:pt>
                <c:pt idx="12">
                  <c:v>David Rodriguez</c:v>
                </c:pt>
                <c:pt idx="13">
                  <c:v>David Wilson</c:v>
                </c:pt>
                <c:pt idx="14">
                  <c:v>Emily Brown</c:v>
                </c:pt>
                <c:pt idx="15">
                  <c:v>Emily Davis</c:v>
                </c:pt>
                <c:pt idx="16">
                  <c:v>Emily Johnson</c:v>
                </c:pt>
                <c:pt idx="17">
                  <c:v>Emily Rodriguez</c:v>
                </c:pt>
                <c:pt idx="18">
                  <c:v>James Johnson</c:v>
                </c:pt>
                <c:pt idx="19">
                  <c:v>Jane Doe</c:v>
                </c:pt>
                <c:pt idx="20">
                  <c:v>Jennifer Davis</c:v>
                </c:pt>
                <c:pt idx="21">
                  <c:v>Jennifer Hernandez</c:v>
                </c:pt>
                <c:pt idx="22">
                  <c:v>Jennifer Martinez</c:v>
                </c:pt>
                <c:pt idx="23">
                  <c:v>Jennifer Smith</c:v>
                </c:pt>
                <c:pt idx="24">
                  <c:v>Jessica Gonzalez</c:v>
                </c:pt>
                <c:pt idx="25">
                  <c:v>Jessica Johnson</c:v>
                </c:pt>
                <c:pt idx="26">
                  <c:v>Jessica Martinez</c:v>
                </c:pt>
                <c:pt idx="27">
                  <c:v>Jessica Smith</c:v>
                </c:pt>
                <c:pt idx="28">
                  <c:v>Jessica Wilson</c:v>
                </c:pt>
                <c:pt idx="29">
                  <c:v>John Smith</c:v>
                </c:pt>
                <c:pt idx="30">
                  <c:v>Kimberly Garcia</c:v>
                </c:pt>
                <c:pt idx="31">
                  <c:v>Laura Brown</c:v>
                </c:pt>
                <c:pt idx="32">
                  <c:v>Lisa Taylor</c:v>
                </c:pt>
                <c:pt idx="33">
                  <c:v>Matthew Garcia</c:v>
                </c:pt>
                <c:pt idx="34">
                  <c:v>Matthew Hernandez</c:v>
                </c:pt>
                <c:pt idx="35">
                  <c:v>Matthew Johnson</c:v>
                </c:pt>
                <c:pt idx="36">
                  <c:v>Matthew Smith</c:v>
                </c:pt>
                <c:pt idx="37">
                  <c:v>Matthew Wilson</c:v>
                </c:pt>
                <c:pt idx="38">
                  <c:v>Melissa Lopez</c:v>
                </c:pt>
                <c:pt idx="39">
                  <c:v>Michael Davis</c:v>
                </c:pt>
                <c:pt idx="40">
                  <c:v>Michael Garcia</c:v>
                </c:pt>
                <c:pt idx="41">
                  <c:v>Michael Johnson</c:v>
                </c:pt>
                <c:pt idx="42">
                  <c:v>Michael Martinez</c:v>
                </c:pt>
                <c:pt idx="43">
                  <c:v>Michael Smith</c:v>
                </c:pt>
                <c:pt idx="44">
                  <c:v>Richard Perez</c:v>
                </c:pt>
                <c:pt idx="45">
                  <c:v>Sarah Anderson</c:v>
                </c:pt>
                <c:pt idx="46">
                  <c:v>Sarah Garcia</c:v>
                </c:pt>
                <c:pt idx="47">
                  <c:v>Sarah Gonzalez</c:v>
                </c:pt>
                <c:pt idx="48">
                  <c:v>Sarah Johnson</c:v>
                </c:pt>
                <c:pt idx="49">
                  <c:v>Sarah Smith</c:v>
                </c:pt>
                <c:pt idx="50">
                  <c:v>William Hernandez</c:v>
                </c:pt>
              </c:strCache>
            </c:strRef>
          </c:cat>
          <c:val>
            <c:numRef>
              <c:f>'Pivot Table'!$C$5:$C$56</c:f>
              <c:numCache>
                <c:formatCode>General</c:formatCode>
                <c:ptCount val="51"/>
                <c:pt idx="4">
                  <c:v>76.989000000000004</c:v>
                </c:pt>
                <c:pt idx="11">
                  <c:v>87.989000000000004</c:v>
                </c:pt>
                <c:pt idx="14">
                  <c:v>76.989000000000004</c:v>
                </c:pt>
                <c:pt idx="18">
                  <c:v>76.989000000000004</c:v>
                </c:pt>
                <c:pt idx="20">
                  <c:v>76.989000000000004</c:v>
                </c:pt>
                <c:pt idx="22">
                  <c:v>87.989000000000004</c:v>
                </c:pt>
                <c:pt idx="28">
                  <c:v>87.989000000000004</c:v>
                </c:pt>
                <c:pt idx="29">
                  <c:v>54.988999999999997</c:v>
                </c:pt>
                <c:pt idx="32">
                  <c:v>87.989000000000004</c:v>
                </c:pt>
                <c:pt idx="34">
                  <c:v>76.989000000000004</c:v>
                </c:pt>
                <c:pt idx="38">
                  <c:v>87.989000000000004</c:v>
                </c:pt>
                <c:pt idx="40">
                  <c:v>87.989000000000004</c:v>
                </c:pt>
                <c:pt idx="41">
                  <c:v>87.989000000000004</c:v>
                </c:pt>
                <c:pt idx="45">
                  <c:v>76.989000000000004</c:v>
                </c:pt>
                <c:pt idx="47">
                  <c:v>87.989000000000004</c:v>
                </c:pt>
                <c:pt idx="49">
                  <c:v>76.989000000000004</c:v>
                </c:pt>
              </c:numCache>
            </c:numRef>
          </c:val>
          <c:extLst>
            <c:ext xmlns:c16="http://schemas.microsoft.com/office/drawing/2014/chart" uri="{C3380CC4-5D6E-409C-BE32-E72D297353CC}">
              <c16:uniqueId val="{00000001-C394-4146-B8C1-02244251CA9F}"/>
            </c:ext>
          </c:extLst>
        </c:ser>
        <c:ser>
          <c:idx val="2"/>
          <c:order val="2"/>
          <c:tx>
            <c:strRef>
              <c:f>'Pivot Table'!$D$3:$D$4</c:f>
              <c:strCache>
                <c:ptCount val="1"/>
                <c:pt idx="0">
                  <c:v>3</c:v>
                </c:pt>
              </c:strCache>
            </c:strRef>
          </c:tx>
          <c:spPr>
            <a:solidFill>
              <a:schemeClr val="accent3"/>
            </a:solidFill>
            <a:ln>
              <a:noFill/>
            </a:ln>
            <a:effectLst/>
          </c:spPr>
          <c:invertIfNegative val="0"/>
          <c:cat>
            <c:strRef>
              <c:f>'Pivot Table'!$A$5:$A$56</c:f>
              <c:strCache>
                <c:ptCount val="51"/>
                <c:pt idx="0">
                  <c:v>Amanda Martinez</c:v>
                </c:pt>
                <c:pt idx="1">
                  <c:v>Amy Hernandez</c:v>
                </c:pt>
                <c:pt idx="2">
                  <c:v>Christopher Rodriguez</c:v>
                </c:pt>
                <c:pt idx="3">
                  <c:v>Christopher Thomas</c:v>
                </c:pt>
                <c:pt idx="4">
                  <c:v>Daniel Brown</c:v>
                </c:pt>
                <c:pt idx="5">
                  <c:v>Daniel Davis</c:v>
                </c:pt>
                <c:pt idx="6">
                  <c:v>Daniel Hernandez</c:v>
                </c:pt>
                <c:pt idx="7">
                  <c:v>Daniel Martinez</c:v>
                </c:pt>
                <c:pt idx="8">
                  <c:v>Daniel Smith</c:v>
                </c:pt>
                <c:pt idx="9">
                  <c:v>Daniel Wilson</c:v>
                </c:pt>
                <c:pt idx="10">
                  <c:v>David Brown</c:v>
                </c:pt>
                <c:pt idx="11">
                  <c:v>David Martinez</c:v>
                </c:pt>
                <c:pt idx="12">
                  <c:v>David Rodriguez</c:v>
                </c:pt>
                <c:pt idx="13">
                  <c:v>David Wilson</c:v>
                </c:pt>
                <c:pt idx="14">
                  <c:v>Emily Brown</c:v>
                </c:pt>
                <c:pt idx="15">
                  <c:v>Emily Davis</c:v>
                </c:pt>
                <c:pt idx="16">
                  <c:v>Emily Johnson</c:v>
                </c:pt>
                <c:pt idx="17">
                  <c:v>Emily Rodriguez</c:v>
                </c:pt>
                <c:pt idx="18">
                  <c:v>James Johnson</c:v>
                </c:pt>
                <c:pt idx="19">
                  <c:v>Jane Doe</c:v>
                </c:pt>
                <c:pt idx="20">
                  <c:v>Jennifer Davis</c:v>
                </c:pt>
                <c:pt idx="21">
                  <c:v>Jennifer Hernandez</c:v>
                </c:pt>
                <c:pt idx="22">
                  <c:v>Jennifer Martinez</c:v>
                </c:pt>
                <c:pt idx="23">
                  <c:v>Jennifer Smith</c:v>
                </c:pt>
                <c:pt idx="24">
                  <c:v>Jessica Gonzalez</c:v>
                </c:pt>
                <c:pt idx="25">
                  <c:v>Jessica Johnson</c:v>
                </c:pt>
                <c:pt idx="26">
                  <c:v>Jessica Martinez</c:v>
                </c:pt>
                <c:pt idx="27">
                  <c:v>Jessica Smith</c:v>
                </c:pt>
                <c:pt idx="28">
                  <c:v>Jessica Wilson</c:v>
                </c:pt>
                <c:pt idx="29">
                  <c:v>John Smith</c:v>
                </c:pt>
                <c:pt idx="30">
                  <c:v>Kimberly Garcia</c:v>
                </c:pt>
                <c:pt idx="31">
                  <c:v>Laura Brown</c:v>
                </c:pt>
                <c:pt idx="32">
                  <c:v>Lisa Taylor</c:v>
                </c:pt>
                <c:pt idx="33">
                  <c:v>Matthew Garcia</c:v>
                </c:pt>
                <c:pt idx="34">
                  <c:v>Matthew Hernandez</c:v>
                </c:pt>
                <c:pt idx="35">
                  <c:v>Matthew Johnson</c:v>
                </c:pt>
                <c:pt idx="36">
                  <c:v>Matthew Smith</c:v>
                </c:pt>
                <c:pt idx="37">
                  <c:v>Matthew Wilson</c:v>
                </c:pt>
                <c:pt idx="38">
                  <c:v>Melissa Lopez</c:v>
                </c:pt>
                <c:pt idx="39">
                  <c:v>Michael Davis</c:v>
                </c:pt>
                <c:pt idx="40">
                  <c:v>Michael Garcia</c:v>
                </c:pt>
                <c:pt idx="41">
                  <c:v>Michael Johnson</c:v>
                </c:pt>
                <c:pt idx="42">
                  <c:v>Michael Martinez</c:v>
                </c:pt>
                <c:pt idx="43">
                  <c:v>Michael Smith</c:v>
                </c:pt>
                <c:pt idx="44">
                  <c:v>Richard Perez</c:v>
                </c:pt>
                <c:pt idx="45">
                  <c:v>Sarah Anderson</c:v>
                </c:pt>
                <c:pt idx="46">
                  <c:v>Sarah Garcia</c:v>
                </c:pt>
                <c:pt idx="47">
                  <c:v>Sarah Gonzalez</c:v>
                </c:pt>
                <c:pt idx="48">
                  <c:v>Sarah Johnson</c:v>
                </c:pt>
                <c:pt idx="49">
                  <c:v>Sarah Smith</c:v>
                </c:pt>
                <c:pt idx="50">
                  <c:v>William Hernandez</c:v>
                </c:pt>
              </c:strCache>
            </c:strRef>
          </c:cat>
          <c:val>
            <c:numRef>
              <c:f>'Pivot Table'!$D$5:$D$56</c:f>
              <c:numCache>
                <c:formatCode>General</c:formatCode>
                <c:ptCount val="51"/>
                <c:pt idx="1">
                  <c:v>54.988999999999997</c:v>
                </c:pt>
                <c:pt idx="6">
                  <c:v>43.988999999999997</c:v>
                </c:pt>
                <c:pt idx="7">
                  <c:v>43.988999999999997</c:v>
                </c:pt>
                <c:pt idx="12">
                  <c:v>54.988999999999997</c:v>
                </c:pt>
                <c:pt idx="17">
                  <c:v>43.988999999999997</c:v>
                </c:pt>
                <c:pt idx="21">
                  <c:v>43.988999999999997</c:v>
                </c:pt>
                <c:pt idx="26">
                  <c:v>54.988999999999997</c:v>
                </c:pt>
                <c:pt idx="31">
                  <c:v>43.988999999999997</c:v>
                </c:pt>
                <c:pt idx="35">
                  <c:v>43.988999999999997</c:v>
                </c:pt>
                <c:pt idx="36">
                  <c:v>54.988999999999997</c:v>
                </c:pt>
                <c:pt idx="41">
                  <c:v>109.989</c:v>
                </c:pt>
                <c:pt idx="42">
                  <c:v>43.988999999999997</c:v>
                </c:pt>
                <c:pt idx="43">
                  <c:v>54.988999999999997</c:v>
                </c:pt>
                <c:pt idx="44">
                  <c:v>54.988999999999997</c:v>
                </c:pt>
                <c:pt idx="48">
                  <c:v>54.988999999999997</c:v>
                </c:pt>
              </c:numCache>
            </c:numRef>
          </c:val>
          <c:extLst>
            <c:ext xmlns:c16="http://schemas.microsoft.com/office/drawing/2014/chart" uri="{C3380CC4-5D6E-409C-BE32-E72D297353CC}">
              <c16:uniqueId val="{00000002-C394-4146-B8C1-02244251CA9F}"/>
            </c:ext>
          </c:extLst>
        </c:ser>
        <c:ser>
          <c:idx val="3"/>
          <c:order val="3"/>
          <c:tx>
            <c:strRef>
              <c:f>'Pivot Table'!$E$3:$E$4</c:f>
              <c:strCache>
                <c:ptCount val="1"/>
                <c:pt idx="0">
                  <c:v>4</c:v>
                </c:pt>
              </c:strCache>
            </c:strRef>
          </c:tx>
          <c:spPr>
            <a:solidFill>
              <a:schemeClr val="accent4"/>
            </a:solidFill>
            <a:ln>
              <a:noFill/>
            </a:ln>
            <a:effectLst/>
          </c:spPr>
          <c:invertIfNegative val="0"/>
          <c:cat>
            <c:strRef>
              <c:f>'Pivot Table'!$A$5:$A$56</c:f>
              <c:strCache>
                <c:ptCount val="51"/>
                <c:pt idx="0">
                  <c:v>Amanda Martinez</c:v>
                </c:pt>
                <c:pt idx="1">
                  <c:v>Amy Hernandez</c:v>
                </c:pt>
                <c:pt idx="2">
                  <c:v>Christopher Rodriguez</c:v>
                </c:pt>
                <c:pt idx="3">
                  <c:v>Christopher Thomas</c:v>
                </c:pt>
                <c:pt idx="4">
                  <c:v>Daniel Brown</c:v>
                </c:pt>
                <c:pt idx="5">
                  <c:v>Daniel Davis</c:v>
                </c:pt>
                <c:pt idx="6">
                  <c:v>Daniel Hernandez</c:v>
                </c:pt>
                <c:pt idx="7">
                  <c:v>Daniel Martinez</c:v>
                </c:pt>
                <c:pt idx="8">
                  <c:v>Daniel Smith</c:v>
                </c:pt>
                <c:pt idx="9">
                  <c:v>Daniel Wilson</c:v>
                </c:pt>
                <c:pt idx="10">
                  <c:v>David Brown</c:v>
                </c:pt>
                <c:pt idx="11">
                  <c:v>David Martinez</c:v>
                </c:pt>
                <c:pt idx="12">
                  <c:v>David Rodriguez</c:v>
                </c:pt>
                <c:pt idx="13">
                  <c:v>David Wilson</c:v>
                </c:pt>
                <c:pt idx="14">
                  <c:v>Emily Brown</c:v>
                </c:pt>
                <c:pt idx="15">
                  <c:v>Emily Davis</c:v>
                </c:pt>
                <c:pt idx="16">
                  <c:v>Emily Johnson</c:v>
                </c:pt>
                <c:pt idx="17">
                  <c:v>Emily Rodriguez</c:v>
                </c:pt>
                <c:pt idx="18">
                  <c:v>James Johnson</c:v>
                </c:pt>
                <c:pt idx="19">
                  <c:v>Jane Doe</c:v>
                </c:pt>
                <c:pt idx="20">
                  <c:v>Jennifer Davis</c:v>
                </c:pt>
                <c:pt idx="21">
                  <c:v>Jennifer Hernandez</c:v>
                </c:pt>
                <c:pt idx="22">
                  <c:v>Jennifer Martinez</c:v>
                </c:pt>
                <c:pt idx="23">
                  <c:v>Jennifer Smith</c:v>
                </c:pt>
                <c:pt idx="24">
                  <c:v>Jessica Gonzalez</c:v>
                </c:pt>
                <c:pt idx="25">
                  <c:v>Jessica Johnson</c:v>
                </c:pt>
                <c:pt idx="26">
                  <c:v>Jessica Martinez</c:v>
                </c:pt>
                <c:pt idx="27">
                  <c:v>Jessica Smith</c:v>
                </c:pt>
                <c:pt idx="28">
                  <c:v>Jessica Wilson</c:v>
                </c:pt>
                <c:pt idx="29">
                  <c:v>John Smith</c:v>
                </c:pt>
                <c:pt idx="30">
                  <c:v>Kimberly Garcia</c:v>
                </c:pt>
                <c:pt idx="31">
                  <c:v>Laura Brown</c:v>
                </c:pt>
                <c:pt idx="32">
                  <c:v>Lisa Taylor</c:v>
                </c:pt>
                <c:pt idx="33">
                  <c:v>Matthew Garcia</c:v>
                </c:pt>
                <c:pt idx="34">
                  <c:v>Matthew Hernandez</c:v>
                </c:pt>
                <c:pt idx="35">
                  <c:v>Matthew Johnson</c:v>
                </c:pt>
                <c:pt idx="36">
                  <c:v>Matthew Smith</c:v>
                </c:pt>
                <c:pt idx="37">
                  <c:v>Matthew Wilson</c:v>
                </c:pt>
                <c:pt idx="38">
                  <c:v>Melissa Lopez</c:v>
                </c:pt>
                <c:pt idx="39">
                  <c:v>Michael Davis</c:v>
                </c:pt>
                <c:pt idx="40">
                  <c:v>Michael Garcia</c:v>
                </c:pt>
                <c:pt idx="41">
                  <c:v>Michael Johnson</c:v>
                </c:pt>
                <c:pt idx="42">
                  <c:v>Michael Martinez</c:v>
                </c:pt>
                <c:pt idx="43">
                  <c:v>Michael Smith</c:v>
                </c:pt>
                <c:pt idx="44">
                  <c:v>Richard Perez</c:v>
                </c:pt>
                <c:pt idx="45">
                  <c:v>Sarah Anderson</c:v>
                </c:pt>
                <c:pt idx="46">
                  <c:v>Sarah Garcia</c:v>
                </c:pt>
                <c:pt idx="47">
                  <c:v>Sarah Gonzalez</c:v>
                </c:pt>
                <c:pt idx="48">
                  <c:v>Sarah Johnson</c:v>
                </c:pt>
                <c:pt idx="49">
                  <c:v>Sarah Smith</c:v>
                </c:pt>
                <c:pt idx="50">
                  <c:v>William Hernandez</c:v>
                </c:pt>
              </c:strCache>
            </c:strRef>
          </c:cat>
          <c:val>
            <c:numRef>
              <c:f>'Pivot Table'!$E$5:$E$56</c:f>
              <c:numCache>
                <c:formatCode>General</c:formatCode>
                <c:ptCount val="51"/>
                <c:pt idx="4">
                  <c:v>21.989000000000001</c:v>
                </c:pt>
                <c:pt idx="10">
                  <c:v>21.989000000000001</c:v>
                </c:pt>
                <c:pt idx="14">
                  <c:v>43.978000000000002</c:v>
                </c:pt>
                <c:pt idx="26">
                  <c:v>21.989000000000001</c:v>
                </c:pt>
                <c:pt idx="36">
                  <c:v>21.989000000000001</c:v>
                </c:pt>
                <c:pt idx="37">
                  <c:v>21.989000000000001</c:v>
                </c:pt>
                <c:pt idx="48">
                  <c:v>21.989000000000001</c:v>
                </c:pt>
              </c:numCache>
            </c:numRef>
          </c:val>
          <c:extLst>
            <c:ext xmlns:c16="http://schemas.microsoft.com/office/drawing/2014/chart" uri="{C3380CC4-5D6E-409C-BE32-E72D297353CC}">
              <c16:uniqueId val="{00000003-C394-4146-B8C1-02244251CA9F}"/>
            </c:ext>
          </c:extLst>
        </c:ser>
        <c:ser>
          <c:idx val="4"/>
          <c:order val="4"/>
          <c:tx>
            <c:strRef>
              <c:f>'Pivot Table'!$F$3:$F$4</c:f>
              <c:strCache>
                <c:ptCount val="1"/>
                <c:pt idx="0">
                  <c:v>5</c:v>
                </c:pt>
              </c:strCache>
            </c:strRef>
          </c:tx>
          <c:spPr>
            <a:solidFill>
              <a:schemeClr val="accent5"/>
            </a:solidFill>
            <a:ln>
              <a:noFill/>
            </a:ln>
            <a:effectLst/>
          </c:spPr>
          <c:invertIfNegative val="0"/>
          <c:cat>
            <c:strRef>
              <c:f>'Pivot Table'!$A$5:$A$56</c:f>
              <c:strCache>
                <c:ptCount val="51"/>
                <c:pt idx="0">
                  <c:v>Amanda Martinez</c:v>
                </c:pt>
                <c:pt idx="1">
                  <c:v>Amy Hernandez</c:v>
                </c:pt>
                <c:pt idx="2">
                  <c:v>Christopher Rodriguez</c:v>
                </c:pt>
                <c:pt idx="3">
                  <c:v>Christopher Thomas</c:v>
                </c:pt>
                <c:pt idx="4">
                  <c:v>Daniel Brown</c:v>
                </c:pt>
                <c:pt idx="5">
                  <c:v>Daniel Davis</c:v>
                </c:pt>
                <c:pt idx="6">
                  <c:v>Daniel Hernandez</c:v>
                </c:pt>
                <c:pt idx="7">
                  <c:v>Daniel Martinez</c:v>
                </c:pt>
                <c:pt idx="8">
                  <c:v>Daniel Smith</c:v>
                </c:pt>
                <c:pt idx="9">
                  <c:v>Daniel Wilson</c:v>
                </c:pt>
                <c:pt idx="10">
                  <c:v>David Brown</c:v>
                </c:pt>
                <c:pt idx="11">
                  <c:v>David Martinez</c:v>
                </c:pt>
                <c:pt idx="12">
                  <c:v>David Rodriguez</c:v>
                </c:pt>
                <c:pt idx="13">
                  <c:v>David Wilson</c:v>
                </c:pt>
                <c:pt idx="14">
                  <c:v>Emily Brown</c:v>
                </c:pt>
                <c:pt idx="15">
                  <c:v>Emily Davis</c:v>
                </c:pt>
                <c:pt idx="16">
                  <c:v>Emily Johnson</c:v>
                </c:pt>
                <c:pt idx="17">
                  <c:v>Emily Rodriguez</c:v>
                </c:pt>
                <c:pt idx="18">
                  <c:v>James Johnson</c:v>
                </c:pt>
                <c:pt idx="19">
                  <c:v>Jane Doe</c:v>
                </c:pt>
                <c:pt idx="20">
                  <c:v>Jennifer Davis</c:v>
                </c:pt>
                <c:pt idx="21">
                  <c:v>Jennifer Hernandez</c:v>
                </c:pt>
                <c:pt idx="22">
                  <c:v>Jennifer Martinez</c:v>
                </c:pt>
                <c:pt idx="23">
                  <c:v>Jennifer Smith</c:v>
                </c:pt>
                <c:pt idx="24">
                  <c:v>Jessica Gonzalez</c:v>
                </c:pt>
                <c:pt idx="25">
                  <c:v>Jessica Johnson</c:v>
                </c:pt>
                <c:pt idx="26">
                  <c:v>Jessica Martinez</c:v>
                </c:pt>
                <c:pt idx="27">
                  <c:v>Jessica Smith</c:v>
                </c:pt>
                <c:pt idx="28">
                  <c:v>Jessica Wilson</c:v>
                </c:pt>
                <c:pt idx="29">
                  <c:v>John Smith</c:v>
                </c:pt>
                <c:pt idx="30">
                  <c:v>Kimberly Garcia</c:v>
                </c:pt>
                <c:pt idx="31">
                  <c:v>Laura Brown</c:v>
                </c:pt>
                <c:pt idx="32">
                  <c:v>Lisa Taylor</c:v>
                </c:pt>
                <c:pt idx="33">
                  <c:v>Matthew Garcia</c:v>
                </c:pt>
                <c:pt idx="34">
                  <c:v>Matthew Hernandez</c:v>
                </c:pt>
                <c:pt idx="35">
                  <c:v>Matthew Johnson</c:v>
                </c:pt>
                <c:pt idx="36">
                  <c:v>Matthew Smith</c:v>
                </c:pt>
                <c:pt idx="37">
                  <c:v>Matthew Wilson</c:v>
                </c:pt>
                <c:pt idx="38">
                  <c:v>Melissa Lopez</c:v>
                </c:pt>
                <c:pt idx="39">
                  <c:v>Michael Davis</c:v>
                </c:pt>
                <c:pt idx="40">
                  <c:v>Michael Garcia</c:v>
                </c:pt>
                <c:pt idx="41">
                  <c:v>Michael Johnson</c:v>
                </c:pt>
                <c:pt idx="42">
                  <c:v>Michael Martinez</c:v>
                </c:pt>
                <c:pt idx="43">
                  <c:v>Michael Smith</c:v>
                </c:pt>
                <c:pt idx="44">
                  <c:v>Richard Perez</c:v>
                </c:pt>
                <c:pt idx="45">
                  <c:v>Sarah Anderson</c:v>
                </c:pt>
                <c:pt idx="46">
                  <c:v>Sarah Garcia</c:v>
                </c:pt>
                <c:pt idx="47">
                  <c:v>Sarah Gonzalez</c:v>
                </c:pt>
                <c:pt idx="48">
                  <c:v>Sarah Johnson</c:v>
                </c:pt>
                <c:pt idx="49">
                  <c:v>Sarah Smith</c:v>
                </c:pt>
                <c:pt idx="50">
                  <c:v>William Hernandez</c:v>
                </c:pt>
              </c:strCache>
            </c:strRef>
          </c:cat>
          <c:val>
            <c:numRef>
              <c:f>'Pivot Table'!$F$5:$F$56</c:f>
              <c:numCache>
                <c:formatCode>General</c:formatCode>
                <c:ptCount val="51"/>
                <c:pt idx="9">
                  <c:v>32.988999999999997</c:v>
                </c:pt>
                <c:pt idx="12">
                  <c:v>32.988999999999997</c:v>
                </c:pt>
                <c:pt idx="20">
                  <c:v>32.988999999999997</c:v>
                </c:pt>
                <c:pt idx="23">
                  <c:v>32.988999999999997</c:v>
                </c:pt>
                <c:pt idx="27">
                  <c:v>32.988999999999997</c:v>
                </c:pt>
                <c:pt idx="42">
                  <c:v>32.988999999999997</c:v>
                </c:pt>
                <c:pt idx="50">
                  <c:v>32.988999999999997</c:v>
                </c:pt>
              </c:numCache>
            </c:numRef>
          </c:val>
          <c:extLst>
            <c:ext xmlns:c16="http://schemas.microsoft.com/office/drawing/2014/chart" uri="{C3380CC4-5D6E-409C-BE32-E72D297353CC}">
              <c16:uniqueId val="{00000004-C394-4146-B8C1-02244251CA9F}"/>
            </c:ext>
          </c:extLst>
        </c:ser>
        <c:dLbls>
          <c:showLegendKey val="0"/>
          <c:showVal val="0"/>
          <c:showCatName val="0"/>
          <c:showSerName val="0"/>
          <c:showPercent val="0"/>
          <c:showBubbleSize val="0"/>
        </c:dLbls>
        <c:gapWidth val="150"/>
        <c:overlap val="100"/>
        <c:axId val="274558112"/>
        <c:axId val="274557280"/>
      </c:barChart>
      <c:catAx>
        <c:axId val="27455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557280"/>
        <c:crosses val="autoZero"/>
        <c:auto val="1"/>
        <c:lblAlgn val="ctr"/>
        <c:lblOffset val="100"/>
        <c:noMultiLvlLbl val="0"/>
      </c:catAx>
      <c:valAx>
        <c:axId val="27455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55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rot="0" anchor="ctr"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Sales.csv.xlsx]Pivot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Table'!$A$61:$A$62</c:f>
              <c:strCache>
                <c:ptCount val="1"/>
                <c:pt idx="0">
                  <c:v>Jan</c:v>
                </c:pt>
              </c:strCache>
            </c:strRef>
          </c:cat>
          <c:val>
            <c:numRef>
              <c:f>'Pivot Table'!$B$61:$B$62</c:f>
              <c:numCache>
                <c:formatCode>General</c:formatCode>
                <c:ptCount val="1"/>
                <c:pt idx="0">
                  <c:v>54.988999999999997</c:v>
                </c:pt>
              </c:numCache>
            </c:numRef>
          </c:val>
          <c:smooth val="0"/>
          <c:extLst>
            <c:ext xmlns:c16="http://schemas.microsoft.com/office/drawing/2014/chart" uri="{C3380CC4-5D6E-409C-BE32-E72D297353CC}">
              <c16:uniqueId val="{00000000-5547-4142-BFC3-1539798036F8}"/>
            </c:ext>
          </c:extLst>
        </c:ser>
        <c:dLbls>
          <c:showLegendKey val="0"/>
          <c:showVal val="1"/>
          <c:showCatName val="0"/>
          <c:showSerName val="0"/>
          <c:showPercent val="0"/>
          <c:showBubbleSize val="0"/>
        </c:dLbls>
        <c:smooth val="0"/>
        <c:axId val="215295056"/>
        <c:axId val="215299216"/>
      </c:lineChart>
      <c:catAx>
        <c:axId val="215295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Date (Months)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299216"/>
        <c:crosses val="autoZero"/>
        <c:auto val="1"/>
        <c:lblAlgn val="ctr"/>
        <c:lblOffset val="100"/>
        <c:noMultiLvlLbl val="0"/>
      </c:catAx>
      <c:valAx>
        <c:axId val="215299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295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Sales.csv.xlsx]Pivot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Pricing vs. Volume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'Pivot Table'!$B$81</c:f>
              <c:strCache>
                <c:ptCount val="1"/>
                <c:pt idx="0">
                  <c:v>Total</c:v>
                </c:pt>
              </c:strCache>
            </c:strRef>
          </c:tx>
          <c:spPr>
            <a:solidFill>
              <a:schemeClr val="accent1"/>
            </a:solidFill>
            <a:ln>
              <a:noFill/>
            </a:ln>
            <a:effectLst/>
          </c:spPr>
          <c:invertIfNegative val="0"/>
          <c:dLbls>
            <c:delete val="1"/>
          </c:dLbls>
          <c:cat>
            <c:strRef>
              <c:f>'Pivot Table'!$A$82</c:f>
              <c:strCache>
                <c:ptCount val="1"/>
                <c:pt idx="0">
                  <c:v>Grand Total</c:v>
                </c:pt>
              </c:strCache>
            </c:strRef>
          </c:cat>
          <c:val>
            <c:numRef>
              <c:f>'Pivot Table'!$B$82</c:f>
              <c:numCache>
                <c:formatCode>General</c:formatCode>
                <c:ptCount val="1"/>
              </c:numCache>
            </c:numRef>
          </c:val>
          <c:extLst>
            <c:ext xmlns:c16="http://schemas.microsoft.com/office/drawing/2014/chart" uri="{C3380CC4-5D6E-409C-BE32-E72D297353CC}">
              <c16:uniqueId val="{00000000-2DED-41CD-BB8D-3DD108EE80B0}"/>
            </c:ext>
          </c:extLst>
        </c:ser>
        <c:dLbls>
          <c:dLblPos val="outEnd"/>
          <c:showLegendKey val="0"/>
          <c:showVal val="1"/>
          <c:showCatName val="0"/>
          <c:showSerName val="0"/>
          <c:showPercent val="0"/>
          <c:showBubbleSize val="0"/>
        </c:dLbls>
        <c:gapWidth val="219"/>
        <c:overlap val="-27"/>
        <c:axId val="215289232"/>
        <c:axId val="215293808"/>
      </c:barChart>
      <c:catAx>
        <c:axId val="215289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Retail</a:t>
                </a:r>
                <a:r>
                  <a:rPr lang="en-US" baseline="0"/>
                  <a:t> Price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293808"/>
        <c:crosses val="autoZero"/>
        <c:auto val="1"/>
        <c:lblAlgn val="ctr"/>
        <c:lblOffset val="100"/>
        <c:noMultiLvlLbl val="0"/>
      </c:catAx>
      <c:valAx>
        <c:axId val="215293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Quantity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28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Sales.csv.xlsx]Pivot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Tax</a:t>
            </a:r>
            <a:r>
              <a:rPr lang="en-US" baseline="0"/>
              <a:t> vs. Net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Table'!$A$98</c:f>
              <c:strCache>
                <c:ptCount val="1"/>
                <c:pt idx="0">
                  <c:v>Sum of Tax (USD)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18-46B2-8B20-88C7B30C50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Table'!$A$99</c:f>
              <c:strCache>
                <c:ptCount val="1"/>
                <c:pt idx="0">
                  <c:v>Total</c:v>
                </c:pt>
              </c:strCache>
            </c:strRef>
          </c:cat>
          <c:val>
            <c:numRef>
              <c:f>'Pivot Table'!$A$99</c:f>
              <c:numCache>
                <c:formatCode>General</c:formatCode>
                <c:ptCount val="1"/>
                <c:pt idx="0">
                  <c:v>1.9990000000000001</c:v>
                </c:pt>
              </c:numCache>
            </c:numRef>
          </c:val>
          <c:extLst>
            <c:ext xmlns:c16="http://schemas.microsoft.com/office/drawing/2014/chart" uri="{C3380CC4-5D6E-409C-BE32-E72D297353CC}">
              <c16:uniqueId val="{00000000-A6D8-4B18-BEA2-54444A6DC1B4}"/>
            </c:ext>
          </c:extLst>
        </c:ser>
        <c:ser>
          <c:idx val="1"/>
          <c:order val="1"/>
          <c:tx>
            <c:strRef>
              <c:f>'Pivot Table'!$B$98</c:f>
              <c:strCache>
                <c:ptCount val="1"/>
                <c:pt idx="0">
                  <c:v>Sum of Net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4718-46B2-8B20-88C7B30C50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Table'!$A$99</c:f>
              <c:strCache>
                <c:ptCount val="1"/>
                <c:pt idx="0">
                  <c:v>Total</c:v>
                </c:pt>
              </c:strCache>
            </c:strRef>
          </c:cat>
          <c:val>
            <c:numRef>
              <c:f>'Pivot Table'!$B$99</c:f>
              <c:numCache>
                <c:formatCode>General</c:formatCode>
                <c:ptCount val="1"/>
                <c:pt idx="0">
                  <c:v>19.989999999999998</c:v>
                </c:pt>
              </c:numCache>
            </c:numRef>
          </c:val>
          <c:extLst>
            <c:ext xmlns:c16="http://schemas.microsoft.com/office/drawing/2014/chart" uri="{C3380CC4-5D6E-409C-BE32-E72D297353CC}">
              <c16:uniqueId val="{00000001-A6D8-4B18-BEA2-54444A6DC1B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Sales.csv.xlsx]Pivot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Size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Table'!$B$117</c:f>
              <c:strCache>
                <c:ptCount val="1"/>
                <c:pt idx="0">
                  <c:v>Total</c:v>
                </c:pt>
              </c:strCache>
            </c:strRef>
          </c:tx>
          <c:spPr>
            <a:solidFill>
              <a:schemeClr val="accent1"/>
            </a:solidFill>
            <a:ln>
              <a:noFill/>
            </a:ln>
            <a:effectLst/>
          </c:spPr>
          <c:invertIfNegative val="0"/>
          <c:cat>
            <c:strRef>
              <c:f>'Pivot Table'!$A$118:$A$119</c:f>
              <c:strCache>
                <c:ptCount val="1"/>
                <c:pt idx="0">
                  <c:v>4</c:v>
                </c:pt>
              </c:strCache>
            </c:strRef>
          </c:cat>
          <c:val>
            <c:numRef>
              <c:f>'Pivot Table'!$B$118:$B$119</c:f>
              <c:numCache>
                <c:formatCode>General</c:formatCode>
                <c:ptCount val="1"/>
                <c:pt idx="0">
                  <c:v>8</c:v>
                </c:pt>
              </c:numCache>
            </c:numRef>
          </c:val>
          <c:extLst>
            <c:ext xmlns:c16="http://schemas.microsoft.com/office/drawing/2014/chart" uri="{C3380CC4-5D6E-409C-BE32-E72D297353CC}">
              <c16:uniqueId val="{00000000-D03D-4258-89FC-595BCC339ED6}"/>
            </c:ext>
          </c:extLst>
        </c:ser>
        <c:dLbls>
          <c:showLegendKey val="0"/>
          <c:showVal val="0"/>
          <c:showCatName val="0"/>
          <c:showSerName val="0"/>
          <c:showPercent val="0"/>
          <c:showBubbleSize val="0"/>
        </c:dLbls>
        <c:gapWidth val="219"/>
        <c:overlap val="-27"/>
        <c:axId val="1590685151"/>
        <c:axId val="1590682239"/>
      </c:barChart>
      <c:catAx>
        <c:axId val="1590685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Quantity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682239"/>
        <c:crosses val="autoZero"/>
        <c:auto val="1"/>
        <c:lblAlgn val="ctr"/>
        <c:lblOffset val="100"/>
        <c:noMultiLvlLbl val="0"/>
      </c:catAx>
      <c:valAx>
        <c:axId val="1590682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order No</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68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Sales.csv.xlsx]Pivot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Shipping Volume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'Pivot Table'!$B$135</c:f>
              <c:strCache>
                <c:ptCount val="1"/>
                <c:pt idx="0">
                  <c:v>Total</c:v>
                </c:pt>
              </c:strCache>
            </c:strRef>
          </c:tx>
          <c:spPr>
            <a:solidFill>
              <a:schemeClr val="accent1"/>
            </a:solidFill>
            <a:ln>
              <a:noFill/>
            </a:ln>
            <a:effectLst/>
          </c:spPr>
          <c:cat>
            <c:strRef>
              <c:f>'Pivot Table'!$A$136:$A$138</c:f>
              <c:strCache>
                <c:ptCount val="2"/>
                <c:pt idx="0">
                  <c:v>Jan</c:v>
                </c:pt>
                <c:pt idx="1">
                  <c:v>Feb</c:v>
                </c:pt>
              </c:strCache>
            </c:strRef>
          </c:cat>
          <c:val>
            <c:numRef>
              <c:f>'Pivot Table'!$B$136:$B$138</c:f>
              <c:numCache>
                <c:formatCode>General</c:formatCode>
                <c:ptCount val="2"/>
                <c:pt idx="0">
                  <c:v>141</c:v>
                </c:pt>
                <c:pt idx="1">
                  <c:v>27</c:v>
                </c:pt>
              </c:numCache>
            </c:numRef>
          </c:val>
          <c:extLst>
            <c:ext xmlns:c16="http://schemas.microsoft.com/office/drawing/2014/chart" uri="{C3380CC4-5D6E-409C-BE32-E72D297353CC}">
              <c16:uniqueId val="{00000000-231F-4F4A-9BB5-1D42AD320426}"/>
            </c:ext>
          </c:extLst>
        </c:ser>
        <c:dLbls>
          <c:showLegendKey val="0"/>
          <c:showVal val="0"/>
          <c:showCatName val="0"/>
          <c:showSerName val="0"/>
          <c:showPercent val="0"/>
          <c:showBubbleSize val="0"/>
        </c:dLbls>
        <c:axId val="1487942079"/>
        <c:axId val="1487950815"/>
      </c:areaChart>
      <c:catAx>
        <c:axId val="1487942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Ship</a:t>
                </a:r>
                <a:r>
                  <a:rPr lang="en-US" baseline="0"/>
                  <a:t> Date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950815"/>
        <c:crosses val="autoZero"/>
        <c:auto val="1"/>
        <c:lblAlgn val="ctr"/>
        <c:lblOffset val="100"/>
        <c:noMultiLvlLbl val="0"/>
      </c:catAx>
      <c:valAx>
        <c:axId val="1487950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Quantity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9420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Sales.csv.xlsx]Pivot Table!PivotTable7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a:t>
            </a:r>
            <a:r>
              <a:rPr lang="en-US" baseline="0"/>
              <a:t> Value" Shipping Lag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Table'!$B$153:$B$155</c:f>
              <c:strCache>
                <c:ptCount val="1"/>
                <c:pt idx="0">
                  <c:v>&lt;1/3/2024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Table'!$A$156:$A$159</c:f>
              <c:strCache>
                <c:ptCount val="3"/>
                <c:pt idx="0">
                  <c:v>&lt;1/1/2024</c:v>
                </c:pt>
                <c:pt idx="1">
                  <c:v>Jan</c:v>
                </c:pt>
                <c:pt idx="2">
                  <c:v>Feb</c:v>
                </c:pt>
              </c:strCache>
            </c:strRef>
          </c:cat>
          <c:val>
            <c:numRef>
              <c:f>'Pivot Table'!$B$156:$B$159</c:f>
              <c:numCache>
                <c:formatCode>General</c:formatCode>
                <c:ptCount val="3"/>
              </c:numCache>
            </c:numRef>
          </c:val>
          <c:extLst>
            <c:ext xmlns:c16="http://schemas.microsoft.com/office/drawing/2014/chart" uri="{C3380CC4-5D6E-409C-BE32-E72D297353CC}">
              <c16:uniqueId val="{00000000-0D01-4C2F-8615-0A246DB14D91}"/>
            </c:ext>
          </c:extLst>
        </c:ser>
        <c:ser>
          <c:idx val="1"/>
          <c:order val="1"/>
          <c:tx>
            <c:strRef>
              <c:f>'Pivot Table'!$C$153:$C$155</c:f>
              <c:strCache>
                <c:ptCount val="1"/>
                <c:pt idx="0">
                  <c:v>Jan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Table'!$A$156:$A$159</c:f>
              <c:strCache>
                <c:ptCount val="3"/>
                <c:pt idx="0">
                  <c:v>&lt;1/1/2024</c:v>
                </c:pt>
                <c:pt idx="1">
                  <c:v>Jan</c:v>
                </c:pt>
                <c:pt idx="2">
                  <c:v>Feb</c:v>
                </c:pt>
              </c:strCache>
            </c:strRef>
          </c:cat>
          <c:val>
            <c:numRef>
              <c:f>'Pivot Table'!$C$156:$C$159</c:f>
              <c:numCache>
                <c:formatCode>General</c:formatCode>
                <c:ptCount val="3"/>
                <c:pt idx="1">
                  <c:v>84.227288135593099</c:v>
                </c:pt>
              </c:numCache>
            </c:numRef>
          </c:val>
          <c:extLst>
            <c:ext xmlns:c16="http://schemas.microsoft.com/office/drawing/2014/chart" uri="{C3380CC4-5D6E-409C-BE32-E72D297353CC}">
              <c16:uniqueId val="{00000001-0D01-4C2F-8615-0A246DB14D91}"/>
            </c:ext>
          </c:extLst>
        </c:ser>
        <c:dLbls>
          <c:showLegendKey val="0"/>
          <c:showVal val="1"/>
          <c:showCatName val="0"/>
          <c:showSerName val="0"/>
          <c:showPercent val="0"/>
          <c:showBubbleSize val="0"/>
        </c:dLbls>
        <c:gapWidth val="219"/>
        <c:overlap val="-27"/>
        <c:axId val="1487950399"/>
        <c:axId val="1487938751"/>
      </c:barChart>
      <c:lineChart>
        <c:grouping val="standard"/>
        <c:varyColors val="0"/>
        <c:ser>
          <c:idx val="2"/>
          <c:order val="2"/>
          <c:tx>
            <c:strRef>
              <c:f>'Pivot Table'!$D$153:$D$155</c:f>
              <c:strCache>
                <c:ptCount val="1"/>
                <c:pt idx="0">
                  <c:v>Feb</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Table'!$A$156:$A$159</c:f>
              <c:strCache>
                <c:ptCount val="3"/>
                <c:pt idx="0">
                  <c:v>&lt;1/1/2024</c:v>
                </c:pt>
                <c:pt idx="1">
                  <c:v>Jan</c:v>
                </c:pt>
                <c:pt idx="2">
                  <c:v>Feb</c:v>
                </c:pt>
              </c:strCache>
            </c:strRef>
          </c:cat>
          <c:val>
            <c:numRef>
              <c:f>'Pivot Table'!$D$156:$D$159</c:f>
              <c:numCache>
                <c:formatCode>General</c:formatCode>
                <c:ptCount val="3"/>
                <c:pt idx="1">
                  <c:v>79.989999999999995</c:v>
                </c:pt>
                <c:pt idx="2">
                  <c:v>87.49</c:v>
                </c:pt>
              </c:numCache>
            </c:numRef>
          </c:val>
          <c:smooth val="0"/>
          <c:extLst>
            <c:ext xmlns:c16="http://schemas.microsoft.com/office/drawing/2014/chart" uri="{C3380CC4-5D6E-409C-BE32-E72D297353CC}">
              <c16:uniqueId val="{00000002-0D01-4C2F-8615-0A246DB14D91}"/>
            </c:ext>
          </c:extLst>
        </c:ser>
        <c:dLbls>
          <c:showLegendKey val="0"/>
          <c:showVal val="1"/>
          <c:showCatName val="0"/>
          <c:showSerName val="0"/>
          <c:showPercent val="0"/>
          <c:showBubbleSize val="0"/>
        </c:dLbls>
        <c:marker val="1"/>
        <c:smooth val="0"/>
        <c:axId val="1487950399"/>
        <c:axId val="1487938751"/>
      </c:lineChart>
      <c:catAx>
        <c:axId val="1487950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Date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938751"/>
        <c:crosses val="autoZero"/>
        <c:auto val="1"/>
        <c:lblAlgn val="ctr"/>
        <c:lblOffset val="100"/>
        <c:noMultiLvlLbl val="0"/>
      </c:catAx>
      <c:valAx>
        <c:axId val="1487938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Retail</a:t>
                </a:r>
                <a:r>
                  <a:rPr lang="en-US" baseline="0"/>
                  <a:t> Price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95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Sales.csv.xlsx]Pivot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customer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s>
    <c:plotArea>
      <c:layout/>
      <c:barChart>
        <c:barDir val="col"/>
        <c:grouping val="stacked"/>
        <c:varyColors val="0"/>
        <c:ser>
          <c:idx val="0"/>
          <c:order val="0"/>
          <c:tx>
            <c:strRef>
              <c:f>'Pivot Table'!$B$3:$B$4</c:f>
              <c:strCache>
                <c:ptCount val="1"/>
                <c:pt idx="0">
                  <c:v>1</c:v>
                </c:pt>
              </c:strCache>
            </c:strRef>
          </c:tx>
          <c:spPr>
            <a:solidFill>
              <a:schemeClr val="accent1"/>
            </a:solidFill>
            <a:ln>
              <a:noFill/>
            </a:ln>
            <a:effectLst/>
          </c:spPr>
          <c:invertIfNegative val="0"/>
          <c:cat>
            <c:strRef>
              <c:f>'Pivot Table'!$A$5:$A$56</c:f>
              <c:strCache>
                <c:ptCount val="51"/>
                <c:pt idx="0">
                  <c:v>Amanda Martinez</c:v>
                </c:pt>
                <c:pt idx="1">
                  <c:v>Amy Hernandez</c:v>
                </c:pt>
                <c:pt idx="2">
                  <c:v>Christopher Rodriguez</c:v>
                </c:pt>
                <c:pt idx="3">
                  <c:v>Christopher Thomas</c:v>
                </c:pt>
                <c:pt idx="4">
                  <c:v>Daniel Brown</c:v>
                </c:pt>
                <c:pt idx="5">
                  <c:v>Daniel Davis</c:v>
                </c:pt>
                <c:pt idx="6">
                  <c:v>Daniel Hernandez</c:v>
                </c:pt>
                <c:pt idx="7">
                  <c:v>Daniel Martinez</c:v>
                </c:pt>
                <c:pt idx="8">
                  <c:v>Daniel Smith</c:v>
                </c:pt>
                <c:pt idx="9">
                  <c:v>Daniel Wilson</c:v>
                </c:pt>
                <c:pt idx="10">
                  <c:v>David Brown</c:v>
                </c:pt>
                <c:pt idx="11">
                  <c:v>David Martinez</c:v>
                </c:pt>
                <c:pt idx="12">
                  <c:v>David Rodriguez</c:v>
                </c:pt>
                <c:pt idx="13">
                  <c:v>David Wilson</c:v>
                </c:pt>
                <c:pt idx="14">
                  <c:v>Emily Brown</c:v>
                </c:pt>
                <c:pt idx="15">
                  <c:v>Emily Davis</c:v>
                </c:pt>
                <c:pt idx="16">
                  <c:v>Emily Johnson</c:v>
                </c:pt>
                <c:pt idx="17">
                  <c:v>Emily Rodriguez</c:v>
                </c:pt>
                <c:pt idx="18">
                  <c:v>James Johnson</c:v>
                </c:pt>
                <c:pt idx="19">
                  <c:v>Jane Doe</c:v>
                </c:pt>
                <c:pt idx="20">
                  <c:v>Jennifer Davis</c:v>
                </c:pt>
                <c:pt idx="21">
                  <c:v>Jennifer Hernandez</c:v>
                </c:pt>
                <c:pt idx="22">
                  <c:v>Jennifer Martinez</c:v>
                </c:pt>
                <c:pt idx="23">
                  <c:v>Jennifer Smith</c:v>
                </c:pt>
                <c:pt idx="24">
                  <c:v>Jessica Gonzalez</c:v>
                </c:pt>
                <c:pt idx="25">
                  <c:v>Jessica Johnson</c:v>
                </c:pt>
                <c:pt idx="26">
                  <c:v>Jessica Martinez</c:v>
                </c:pt>
                <c:pt idx="27">
                  <c:v>Jessica Smith</c:v>
                </c:pt>
                <c:pt idx="28">
                  <c:v>Jessica Wilson</c:v>
                </c:pt>
                <c:pt idx="29">
                  <c:v>John Smith</c:v>
                </c:pt>
                <c:pt idx="30">
                  <c:v>Kimberly Garcia</c:v>
                </c:pt>
                <c:pt idx="31">
                  <c:v>Laura Brown</c:v>
                </c:pt>
                <c:pt idx="32">
                  <c:v>Lisa Taylor</c:v>
                </c:pt>
                <c:pt idx="33">
                  <c:v>Matthew Garcia</c:v>
                </c:pt>
                <c:pt idx="34">
                  <c:v>Matthew Hernandez</c:v>
                </c:pt>
                <c:pt idx="35">
                  <c:v>Matthew Johnson</c:v>
                </c:pt>
                <c:pt idx="36">
                  <c:v>Matthew Smith</c:v>
                </c:pt>
                <c:pt idx="37">
                  <c:v>Matthew Wilson</c:v>
                </c:pt>
                <c:pt idx="38">
                  <c:v>Melissa Lopez</c:v>
                </c:pt>
                <c:pt idx="39">
                  <c:v>Michael Davis</c:v>
                </c:pt>
                <c:pt idx="40">
                  <c:v>Michael Garcia</c:v>
                </c:pt>
                <c:pt idx="41">
                  <c:v>Michael Johnson</c:v>
                </c:pt>
                <c:pt idx="42">
                  <c:v>Michael Martinez</c:v>
                </c:pt>
                <c:pt idx="43">
                  <c:v>Michael Smith</c:v>
                </c:pt>
                <c:pt idx="44">
                  <c:v>Richard Perez</c:v>
                </c:pt>
                <c:pt idx="45">
                  <c:v>Sarah Anderson</c:v>
                </c:pt>
                <c:pt idx="46">
                  <c:v>Sarah Garcia</c:v>
                </c:pt>
                <c:pt idx="47">
                  <c:v>Sarah Gonzalez</c:v>
                </c:pt>
                <c:pt idx="48">
                  <c:v>Sarah Johnson</c:v>
                </c:pt>
                <c:pt idx="49">
                  <c:v>Sarah Smith</c:v>
                </c:pt>
                <c:pt idx="50">
                  <c:v>William Hernandez</c:v>
                </c:pt>
              </c:strCache>
            </c:strRef>
          </c:cat>
          <c:val>
            <c:numRef>
              <c:f>'Pivot Table'!$B$5:$B$56</c:f>
              <c:numCache>
                <c:formatCode>General</c:formatCode>
                <c:ptCount val="51"/>
                <c:pt idx="0">
                  <c:v>164.989</c:v>
                </c:pt>
                <c:pt idx="2">
                  <c:v>142.989</c:v>
                </c:pt>
                <c:pt idx="3">
                  <c:v>98.989000000000004</c:v>
                </c:pt>
                <c:pt idx="5">
                  <c:v>219.989</c:v>
                </c:pt>
                <c:pt idx="6">
                  <c:v>164.989</c:v>
                </c:pt>
                <c:pt idx="8">
                  <c:v>219.989</c:v>
                </c:pt>
                <c:pt idx="13">
                  <c:v>472.96699999999998</c:v>
                </c:pt>
                <c:pt idx="15">
                  <c:v>219.989</c:v>
                </c:pt>
                <c:pt idx="16">
                  <c:v>307.97800000000001</c:v>
                </c:pt>
                <c:pt idx="19">
                  <c:v>32.988999999999997</c:v>
                </c:pt>
                <c:pt idx="20">
                  <c:v>219.989</c:v>
                </c:pt>
                <c:pt idx="21">
                  <c:v>164.989</c:v>
                </c:pt>
                <c:pt idx="24">
                  <c:v>142.989</c:v>
                </c:pt>
                <c:pt idx="25">
                  <c:v>142.989</c:v>
                </c:pt>
                <c:pt idx="28">
                  <c:v>219.989</c:v>
                </c:pt>
                <c:pt idx="30">
                  <c:v>219.989</c:v>
                </c:pt>
                <c:pt idx="33">
                  <c:v>307.97800000000001</c:v>
                </c:pt>
                <c:pt idx="39">
                  <c:v>219.989</c:v>
                </c:pt>
                <c:pt idx="46">
                  <c:v>164.989</c:v>
                </c:pt>
                <c:pt idx="47">
                  <c:v>142.989</c:v>
                </c:pt>
              </c:numCache>
            </c:numRef>
          </c:val>
          <c:extLst>
            <c:ext xmlns:c16="http://schemas.microsoft.com/office/drawing/2014/chart" uri="{C3380CC4-5D6E-409C-BE32-E72D297353CC}">
              <c16:uniqueId val="{00000000-966B-4A0B-A7B8-A3E0FB5A486F}"/>
            </c:ext>
          </c:extLst>
        </c:ser>
        <c:ser>
          <c:idx val="1"/>
          <c:order val="1"/>
          <c:tx>
            <c:strRef>
              <c:f>'Pivot Table'!$C$3:$C$4</c:f>
              <c:strCache>
                <c:ptCount val="1"/>
                <c:pt idx="0">
                  <c:v>2</c:v>
                </c:pt>
              </c:strCache>
            </c:strRef>
          </c:tx>
          <c:spPr>
            <a:solidFill>
              <a:schemeClr val="accent2"/>
            </a:solidFill>
            <a:ln>
              <a:noFill/>
            </a:ln>
            <a:effectLst/>
          </c:spPr>
          <c:invertIfNegative val="0"/>
          <c:cat>
            <c:strRef>
              <c:f>'Pivot Table'!$A$5:$A$56</c:f>
              <c:strCache>
                <c:ptCount val="51"/>
                <c:pt idx="0">
                  <c:v>Amanda Martinez</c:v>
                </c:pt>
                <c:pt idx="1">
                  <c:v>Amy Hernandez</c:v>
                </c:pt>
                <c:pt idx="2">
                  <c:v>Christopher Rodriguez</c:v>
                </c:pt>
                <c:pt idx="3">
                  <c:v>Christopher Thomas</c:v>
                </c:pt>
                <c:pt idx="4">
                  <c:v>Daniel Brown</c:v>
                </c:pt>
                <c:pt idx="5">
                  <c:v>Daniel Davis</c:v>
                </c:pt>
                <c:pt idx="6">
                  <c:v>Daniel Hernandez</c:v>
                </c:pt>
                <c:pt idx="7">
                  <c:v>Daniel Martinez</c:v>
                </c:pt>
                <c:pt idx="8">
                  <c:v>Daniel Smith</c:v>
                </c:pt>
                <c:pt idx="9">
                  <c:v>Daniel Wilson</c:v>
                </c:pt>
                <c:pt idx="10">
                  <c:v>David Brown</c:v>
                </c:pt>
                <c:pt idx="11">
                  <c:v>David Martinez</c:v>
                </c:pt>
                <c:pt idx="12">
                  <c:v>David Rodriguez</c:v>
                </c:pt>
                <c:pt idx="13">
                  <c:v>David Wilson</c:v>
                </c:pt>
                <c:pt idx="14">
                  <c:v>Emily Brown</c:v>
                </c:pt>
                <c:pt idx="15">
                  <c:v>Emily Davis</c:v>
                </c:pt>
                <c:pt idx="16">
                  <c:v>Emily Johnson</c:v>
                </c:pt>
                <c:pt idx="17">
                  <c:v>Emily Rodriguez</c:v>
                </c:pt>
                <c:pt idx="18">
                  <c:v>James Johnson</c:v>
                </c:pt>
                <c:pt idx="19">
                  <c:v>Jane Doe</c:v>
                </c:pt>
                <c:pt idx="20">
                  <c:v>Jennifer Davis</c:v>
                </c:pt>
                <c:pt idx="21">
                  <c:v>Jennifer Hernandez</c:v>
                </c:pt>
                <c:pt idx="22">
                  <c:v>Jennifer Martinez</c:v>
                </c:pt>
                <c:pt idx="23">
                  <c:v>Jennifer Smith</c:v>
                </c:pt>
                <c:pt idx="24">
                  <c:v>Jessica Gonzalez</c:v>
                </c:pt>
                <c:pt idx="25">
                  <c:v>Jessica Johnson</c:v>
                </c:pt>
                <c:pt idx="26">
                  <c:v>Jessica Martinez</c:v>
                </c:pt>
                <c:pt idx="27">
                  <c:v>Jessica Smith</c:v>
                </c:pt>
                <c:pt idx="28">
                  <c:v>Jessica Wilson</c:v>
                </c:pt>
                <c:pt idx="29">
                  <c:v>John Smith</c:v>
                </c:pt>
                <c:pt idx="30">
                  <c:v>Kimberly Garcia</c:v>
                </c:pt>
                <c:pt idx="31">
                  <c:v>Laura Brown</c:v>
                </c:pt>
                <c:pt idx="32">
                  <c:v>Lisa Taylor</c:v>
                </c:pt>
                <c:pt idx="33">
                  <c:v>Matthew Garcia</c:v>
                </c:pt>
                <c:pt idx="34">
                  <c:v>Matthew Hernandez</c:v>
                </c:pt>
                <c:pt idx="35">
                  <c:v>Matthew Johnson</c:v>
                </c:pt>
                <c:pt idx="36">
                  <c:v>Matthew Smith</c:v>
                </c:pt>
                <c:pt idx="37">
                  <c:v>Matthew Wilson</c:v>
                </c:pt>
                <c:pt idx="38">
                  <c:v>Melissa Lopez</c:v>
                </c:pt>
                <c:pt idx="39">
                  <c:v>Michael Davis</c:v>
                </c:pt>
                <c:pt idx="40">
                  <c:v>Michael Garcia</c:v>
                </c:pt>
                <c:pt idx="41">
                  <c:v>Michael Johnson</c:v>
                </c:pt>
                <c:pt idx="42">
                  <c:v>Michael Martinez</c:v>
                </c:pt>
                <c:pt idx="43">
                  <c:v>Michael Smith</c:v>
                </c:pt>
                <c:pt idx="44">
                  <c:v>Richard Perez</c:v>
                </c:pt>
                <c:pt idx="45">
                  <c:v>Sarah Anderson</c:v>
                </c:pt>
                <c:pt idx="46">
                  <c:v>Sarah Garcia</c:v>
                </c:pt>
                <c:pt idx="47">
                  <c:v>Sarah Gonzalez</c:v>
                </c:pt>
                <c:pt idx="48">
                  <c:v>Sarah Johnson</c:v>
                </c:pt>
                <c:pt idx="49">
                  <c:v>Sarah Smith</c:v>
                </c:pt>
                <c:pt idx="50">
                  <c:v>William Hernandez</c:v>
                </c:pt>
              </c:strCache>
            </c:strRef>
          </c:cat>
          <c:val>
            <c:numRef>
              <c:f>'Pivot Table'!$C$5:$C$56</c:f>
              <c:numCache>
                <c:formatCode>General</c:formatCode>
                <c:ptCount val="51"/>
                <c:pt idx="4">
                  <c:v>76.989000000000004</c:v>
                </c:pt>
                <c:pt idx="11">
                  <c:v>87.989000000000004</c:v>
                </c:pt>
                <c:pt idx="14">
                  <c:v>76.989000000000004</c:v>
                </c:pt>
                <c:pt idx="18">
                  <c:v>76.989000000000004</c:v>
                </c:pt>
                <c:pt idx="20">
                  <c:v>76.989000000000004</c:v>
                </c:pt>
                <c:pt idx="22">
                  <c:v>87.989000000000004</c:v>
                </c:pt>
                <c:pt idx="28">
                  <c:v>87.989000000000004</c:v>
                </c:pt>
                <c:pt idx="29">
                  <c:v>54.988999999999997</c:v>
                </c:pt>
                <c:pt idx="32">
                  <c:v>87.989000000000004</c:v>
                </c:pt>
                <c:pt idx="34">
                  <c:v>76.989000000000004</c:v>
                </c:pt>
                <c:pt idx="38">
                  <c:v>87.989000000000004</c:v>
                </c:pt>
                <c:pt idx="40">
                  <c:v>87.989000000000004</c:v>
                </c:pt>
                <c:pt idx="41">
                  <c:v>87.989000000000004</c:v>
                </c:pt>
                <c:pt idx="45">
                  <c:v>76.989000000000004</c:v>
                </c:pt>
                <c:pt idx="47">
                  <c:v>87.989000000000004</c:v>
                </c:pt>
                <c:pt idx="49">
                  <c:v>76.989000000000004</c:v>
                </c:pt>
              </c:numCache>
            </c:numRef>
          </c:val>
          <c:extLst>
            <c:ext xmlns:c16="http://schemas.microsoft.com/office/drawing/2014/chart" uri="{C3380CC4-5D6E-409C-BE32-E72D297353CC}">
              <c16:uniqueId val="{00000001-966B-4A0B-A7B8-A3E0FB5A486F}"/>
            </c:ext>
          </c:extLst>
        </c:ser>
        <c:ser>
          <c:idx val="2"/>
          <c:order val="2"/>
          <c:tx>
            <c:strRef>
              <c:f>'Pivot Table'!$D$3:$D$4</c:f>
              <c:strCache>
                <c:ptCount val="1"/>
                <c:pt idx="0">
                  <c:v>3</c:v>
                </c:pt>
              </c:strCache>
            </c:strRef>
          </c:tx>
          <c:spPr>
            <a:solidFill>
              <a:schemeClr val="accent3"/>
            </a:solidFill>
            <a:ln>
              <a:noFill/>
            </a:ln>
            <a:effectLst/>
          </c:spPr>
          <c:invertIfNegative val="0"/>
          <c:cat>
            <c:strRef>
              <c:f>'Pivot Table'!$A$5:$A$56</c:f>
              <c:strCache>
                <c:ptCount val="51"/>
                <c:pt idx="0">
                  <c:v>Amanda Martinez</c:v>
                </c:pt>
                <c:pt idx="1">
                  <c:v>Amy Hernandez</c:v>
                </c:pt>
                <c:pt idx="2">
                  <c:v>Christopher Rodriguez</c:v>
                </c:pt>
                <c:pt idx="3">
                  <c:v>Christopher Thomas</c:v>
                </c:pt>
                <c:pt idx="4">
                  <c:v>Daniel Brown</c:v>
                </c:pt>
                <c:pt idx="5">
                  <c:v>Daniel Davis</c:v>
                </c:pt>
                <c:pt idx="6">
                  <c:v>Daniel Hernandez</c:v>
                </c:pt>
                <c:pt idx="7">
                  <c:v>Daniel Martinez</c:v>
                </c:pt>
                <c:pt idx="8">
                  <c:v>Daniel Smith</c:v>
                </c:pt>
                <c:pt idx="9">
                  <c:v>Daniel Wilson</c:v>
                </c:pt>
                <c:pt idx="10">
                  <c:v>David Brown</c:v>
                </c:pt>
                <c:pt idx="11">
                  <c:v>David Martinez</c:v>
                </c:pt>
                <c:pt idx="12">
                  <c:v>David Rodriguez</c:v>
                </c:pt>
                <c:pt idx="13">
                  <c:v>David Wilson</c:v>
                </c:pt>
                <c:pt idx="14">
                  <c:v>Emily Brown</c:v>
                </c:pt>
                <c:pt idx="15">
                  <c:v>Emily Davis</c:v>
                </c:pt>
                <c:pt idx="16">
                  <c:v>Emily Johnson</c:v>
                </c:pt>
                <c:pt idx="17">
                  <c:v>Emily Rodriguez</c:v>
                </c:pt>
                <c:pt idx="18">
                  <c:v>James Johnson</c:v>
                </c:pt>
                <c:pt idx="19">
                  <c:v>Jane Doe</c:v>
                </c:pt>
                <c:pt idx="20">
                  <c:v>Jennifer Davis</c:v>
                </c:pt>
                <c:pt idx="21">
                  <c:v>Jennifer Hernandez</c:v>
                </c:pt>
                <c:pt idx="22">
                  <c:v>Jennifer Martinez</c:v>
                </c:pt>
                <c:pt idx="23">
                  <c:v>Jennifer Smith</c:v>
                </c:pt>
                <c:pt idx="24">
                  <c:v>Jessica Gonzalez</c:v>
                </c:pt>
                <c:pt idx="25">
                  <c:v>Jessica Johnson</c:v>
                </c:pt>
                <c:pt idx="26">
                  <c:v>Jessica Martinez</c:v>
                </c:pt>
                <c:pt idx="27">
                  <c:v>Jessica Smith</c:v>
                </c:pt>
                <c:pt idx="28">
                  <c:v>Jessica Wilson</c:v>
                </c:pt>
                <c:pt idx="29">
                  <c:v>John Smith</c:v>
                </c:pt>
                <c:pt idx="30">
                  <c:v>Kimberly Garcia</c:v>
                </c:pt>
                <c:pt idx="31">
                  <c:v>Laura Brown</c:v>
                </c:pt>
                <c:pt idx="32">
                  <c:v>Lisa Taylor</c:v>
                </c:pt>
                <c:pt idx="33">
                  <c:v>Matthew Garcia</c:v>
                </c:pt>
                <c:pt idx="34">
                  <c:v>Matthew Hernandez</c:v>
                </c:pt>
                <c:pt idx="35">
                  <c:v>Matthew Johnson</c:v>
                </c:pt>
                <c:pt idx="36">
                  <c:v>Matthew Smith</c:v>
                </c:pt>
                <c:pt idx="37">
                  <c:v>Matthew Wilson</c:v>
                </c:pt>
                <c:pt idx="38">
                  <c:v>Melissa Lopez</c:v>
                </c:pt>
                <c:pt idx="39">
                  <c:v>Michael Davis</c:v>
                </c:pt>
                <c:pt idx="40">
                  <c:v>Michael Garcia</c:v>
                </c:pt>
                <c:pt idx="41">
                  <c:v>Michael Johnson</c:v>
                </c:pt>
                <c:pt idx="42">
                  <c:v>Michael Martinez</c:v>
                </c:pt>
                <c:pt idx="43">
                  <c:v>Michael Smith</c:v>
                </c:pt>
                <c:pt idx="44">
                  <c:v>Richard Perez</c:v>
                </c:pt>
                <c:pt idx="45">
                  <c:v>Sarah Anderson</c:v>
                </c:pt>
                <c:pt idx="46">
                  <c:v>Sarah Garcia</c:v>
                </c:pt>
                <c:pt idx="47">
                  <c:v>Sarah Gonzalez</c:v>
                </c:pt>
                <c:pt idx="48">
                  <c:v>Sarah Johnson</c:v>
                </c:pt>
                <c:pt idx="49">
                  <c:v>Sarah Smith</c:v>
                </c:pt>
                <c:pt idx="50">
                  <c:v>William Hernandez</c:v>
                </c:pt>
              </c:strCache>
            </c:strRef>
          </c:cat>
          <c:val>
            <c:numRef>
              <c:f>'Pivot Table'!$D$5:$D$56</c:f>
              <c:numCache>
                <c:formatCode>General</c:formatCode>
                <c:ptCount val="51"/>
                <c:pt idx="1">
                  <c:v>54.988999999999997</c:v>
                </c:pt>
                <c:pt idx="6">
                  <c:v>43.988999999999997</c:v>
                </c:pt>
                <c:pt idx="7">
                  <c:v>43.988999999999997</c:v>
                </c:pt>
                <c:pt idx="12">
                  <c:v>54.988999999999997</c:v>
                </c:pt>
                <c:pt idx="17">
                  <c:v>43.988999999999997</c:v>
                </c:pt>
                <c:pt idx="21">
                  <c:v>43.988999999999997</c:v>
                </c:pt>
                <c:pt idx="26">
                  <c:v>54.988999999999997</c:v>
                </c:pt>
                <c:pt idx="31">
                  <c:v>43.988999999999997</c:v>
                </c:pt>
                <c:pt idx="35">
                  <c:v>43.988999999999997</c:v>
                </c:pt>
                <c:pt idx="36">
                  <c:v>54.988999999999997</c:v>
                </c:pt>
                <c:pt idx="41">
                  <c:v>109.989</c:v>
                </c:pt>
                <c:pt idx="42">
                  <c:v>43.988999999999997</c:v>
                </c:pt>
                <c:pt idx="43">
                  <c:v>54.988999999999997</c:v>
                </c:pt>
                <c:pt idx="44">
                  <c:v>54.988999999999997</c:v>
                </c:pt>
                <c:pt idx="48">
                  <c:v>54.988999999999997</c:v>
                </c:pt>
              </c:numCache>
            </c:numRef>
          </c:val>
          <c:extLst>
            <c:ext xmlns:c16="http://schemas.microsoft.com/office/drawing/2014/chart" uri="{C3380CC4-5D6E-409C-BE32-E72D297353CC}">
              <c16:uniqueId val="{00000002-966B-4A0B-A7B8-A3E0FB5A486F}"/>
            </c:ext>
          </c:extLst>
        </c:ser>
        <c:ser>
          <c:idx val="3"/>
          <c:order val="3"/>
          <c:tx>
            <c:strRef>
              <c:f>'Pivot Table'!$E$3:$E$4</c:f>
              <c:strCache>
                <c:ptCount val="1"/>
                <c:pt idx="0">
                  <c:v>4</c:v>
                </c:pt>
              </c:strCache>
            </c:strRef>
          </c:tx>
          <c:spPr>
            <a:solidFill>
              <a:schemeClr val="accent4"/>
            </a:solidFill>
            <a:ln>
              <a:noFill/>
            </a:ln>
            <a:effectLst/>
          </c:spPr>
          <c:invertIfNegative val="0"/>
          <c:cat>
            <c:strRef>
              <c:f>'Pivot Table'!$A$5:$A$56</c:f>
              <c:strCache>
                <c:ptCount val="51"/>
                <c:pt idx="0">
                  <c:v>Amanda Martinez</c:v>
                </c:pt>
                <c:pt idx="1">
                  <c:v>Amy Hernandez</c:v>
                </c:pt>
                <c:pt idx="2">
                  <c:v>Christopher Rodriguez</c:v>
                </c:pt>
                <c:pt idx="3">
                  <c:v>Christopher Thomas</c:v>
                </c:pt>
                <c:pt idx="4">
                  <c:v>Daniel Brown</c:v>
                </c:pt>
                <c:pt idx="5">
                  <c:v>Daniel Davis</c:v>
                </c:pt>
                <c:pt idx="6">
                  <c:v>Daniel Hernandez</c:v>
                </c:pt>
                <c:pt idx="7">
                  <c:v>Daniel Martinez</c:v>
                </c:pt>
                <c:pt idx="8">
                  <c:v>Daniel Smith</c:v>
                </c:pt>
                <c:pt idx="9">
                  <c:v>Daniel Wilson</c:v>
                </c:pt>
                <c:pt idx="10">
                  <c:v>David Brown</c:v>
                </c:pt>
                <c:pt idx="11">
                  <c:v>David Martinez</c:v>
                </c:pt>
                <c:pt idx="12">
                  <c:v>David Rodriguez</c:v>
                </c:pt>
                <c:pt idx="13">
                  <c:v>David Wilson</c:v>
                </c:pt>
                <c:pt idx="14">
                  <c:v>Emily Brown</c:v>
                </c:pt>
                <c:pt idx="15">
                  <c:v>Emily Davis</c:v>
                </c:pt>
                <c:pt idx="16">
                  <c:v>Emily Johnson</c:v>
                </c:pt>
                <c:pt idx="17">
                  <c:v>Emily Rodriguez</c:v>
                </c:pt>
                <c:pt idx="18">
                  <c:v>James Johnson</c:v>
                </c:pt>
                <c:pt idx="19">
                  <c:v>Jane Doe</c:v>
                </c:pt>
                <c:pt idx="20">
                  <c:v>Jennifer Davis</c:v>
                </c:pt>
                <c:pt idx="21">
                  <c:v>Jennifer Hernandez</c:v>
                </c:pt>
                <c:pt idx="22">
                  <c:v>Jennifer Martinez</c:v>
                </c:pt>
                <c:pt idx="23">
                  <c:v>Jennifer Smith</c:v>
                </c:pt>
                <c:pt idx="24">
                  <c:v>Jessica Gonzalez</c:v>
                </c:pt>
                <c:pt idx="25">
                  <c:v>Jessica Johnson</c:v>
                </c:pt>
                <c:pt idx="26">
                  <c:v>Jessica Martinez</c:v>
                </c:pt>
                <c:pt idx="27">
                  <c:v>Jessica Smith</c:v>
                </c:pt>
                <c:pt idx="28">
                  <c:v>Jessica Wilson</c:v>
                </c:pt>
                <c:pt idx="29">
                  <c:v>John Smith</c:v>
                </c:pt>
                <c:pt idx="30">
                  <c:v>Kimberly Garcia</c:v>
                </c:pt>
                <c:pt idx="31">
                  <c:v>Laura Brown</c:v>
                </c:pt>
                <c:pt idx="32">
                  <c:v>Lisa Taylor</c:v>
                </c:pt>
                <c:pt idx="33">
                  <c:v>Matthew Garcia</c:v>
                </c:pt>
                <c:pt idx="34">
                  <c:v>Matthew Hernandez</c:v>
                </c:pt>
                <c:pt idx="35">
                  <c:v>Matthew Johnson</c:v>
                </c:pt>
                <c:pt idx="36">
                  <c:v>Matthew Smith</c:v>
                </c:pt>
                <c:pt idx="37">
                  <c:v>Matthew Wilson</c:v>
                </c:pt>
                <c:pt idx="38">
                  <c:v>Melissa Lopez</c:v>
                </c:pt>
                <c:pt idx="39">
                  <c:v>Michael Davis</c:v>
                </c:pt>
                <c:pt idx="40">
                  <c:v>Michael Garcia</c:v>
                </c:pt>
                <c:pt idx="41">
                  <c:v>Michael Johnson</c:v>
                </c:pt>
                <c:pt idx="42">
                  <c:v>Michael Martinez</c:v>
                </c:pt>
                <c:pt idx="43">
                  <c:v>Michael Smith</c:v>
                </c:pt>
                <c:pt idx="44">
                  <c:v>Richard Perez</c:v>
                </c:pt>
                <c:pt idx="45">
                  <c:v>Sarah Anderson</c:v>
                </c:pt>
                <c:pt idx="46">
                  <c:v>Sarah Garcia</c:v>
                </c:pt>
                <c:pt idx="47">
                  <c:v>Sarah Gonzalez</c:v>
                </c:pt>
                <c:pt idx="48">
                  <c:v>Sarah Johnson</c:v>
                </c:pt>
                <c:pt idx="49">
                  <c:v>Sarah Smith</c:v>
                </c:pt>
                <c:pt idx="50">
                  <c:v>William Hernandez</c:v>
                </c:pt>
              </c:strCache>
            </c:strRef>
          </c:cat>
          <c:val>
            <c:numRef>
              <c:f>'Pivot Table'!$E$5:$E$56</c:f>
              <c:numCache>
                <c:formatCode>General</c:formatCode>
                <c:ptCount val="51"/>
                <c:pt idx="4">
                  <c:v>21.989000000000001</c:v>
                </c:pt>
                <c:pt idx="10">
                  <c:v>21.989000000000001</c:v>
                </c:pt>
                <c:pt idx="14">
                  <c:v>43.978000000000002</c:v>
                </c:pt>
                <c:pt idx="26">
                  <c:v>21.989000000000001</c:v>
                </c:pt>
                <c:pt idx="36">
                  <c:v>21.989000000000001</c:v>
                </c:pt>
                <c:pt idx="37">
                  <c:v>21.989000000000001</c:v>
                </c:pt>
                <c:pt idx="48">
                  <c:v>21.989000000000001</c:v>
                </c:pt>
              </c:numCache>
            </c:numRef>
          </c:val>
          <c:extLst>
            <c:ext xmlns:c16="http://schemas.microsoft.com/office/drawing/2014/chart" uri="{C3380CC4-5D6E-409C-BE32-E72D297353CC}">
              <c16:uniqueId val="{00000003-966B-4A0B-A7B8-A3E0FB5A486F}"/>
            </c:ext>
          </c:extLst>
        </c:ser>
        <c:ser>
          <c:idx val="4"/>
          <c:order val="4"/>
          <c:tx>
            <c:strRef>
              <c:f>'Pivot Table'!$F$3:$F$4</c:f>
              <c:strCache>
                <c:ptCount val="1"/>
                <c:pt idx="0">
                  <c:v>5</c:v>
                </c:pt>
              </c:strCache>
            </c:strRef>
          </c:tx>
          <c:spPr>
            <a:solidFill>
              <a:schemeClr val="accent5"/>
            </a:solidFill>
            <a:ln>
              <a:noFill/>
            </a:ln>
            <a:effectLst/>
          </c:spPr>
          <c:invertIfNegative val="0"/>
          <c:cat>
            <c:strRef>
              <c:f>'Pivot Table'!$A$5:$A$56</c:f>
              <c:strCache>
                <c:ptCount val="51"/>
                <c:pt idx="0">
                  <c:v>Amanda Martinez</c:v>
                </c:pt>
                <c:pt idx="1">
                  <c:v>Amy Hernandez</c:v>
                </c:pt>
                <c:pt idx="2">
                  <c:v>Christopher Rodriguez</c:v>
                </c:pt>
                <c:pt idx="3">
                  <c:v>Christopher Thomas</c:v>
                </c:pt>
                <c:pt idx="4">
                  <c:v>Daniel Brown</c:v>
                </c:pt>
                <c:pt idx="5">
                  <c:v>Daniel Davis</c:v>
                </c:pt>
                <c:pt idx="6">
                  <c:v>Daniel Hernandez</c:v>
                </c:pt>
                <c:pt idx="7">
                  <c:v>Daniel Martinez</c:v>
                </c:pt>
                <c:pt idx="8">
                  <c:v>Daniel Smith</c:v>
                </c:pt>
                <c:pt idx="9">
                  <c:v>Daniel Wilson</c:v>
                </c:pt>
                <c:pt idx="10">
                  <c:v>David Brown</c:v>
                </c:pt>
                <c:pt idx="11">
                  <c:v>David Martinez</c:v>
                </c:pt>
                <c:pt idx="12">
                  <c:v>David Rodriguez</c:v>
                </c:pt>
                <c:pt idx="13">
                  <c:v>David Wilson</c:v>
                </c:pt>
                <c:pt idx="14">
                  <c:v>Emily Brown</c:v>
                </c:pt>
                <c:pt idx="15">
                  <c:v>Emily Davis</c:v>
                </c:pt>
                <c:pt idx="16">
                  <c:v>Emily Johnson</c:v>
                </c:pt>
                <c:pt idx="17">
                  <c:v>Emily Rodriguez</c:v>
                </c:pt>
                <c:pt idx="18">
                  <c:v>James Johnson</c:v>
                </c:pt>
                <c:pt idx="19">
                  <c:v>Jane Doe</c:v>
                </c:pt>
                <c:pt idx="20">
                  <c:v>Jennifer Davis</c:v>
                </c:pt>
                <c:pt idx="21">
                  <c:v>Jennifer Hernandez</c:v>
                </c:pt>
                <c:pt idx="22">
                  <c:v>Jennifer Martinez</c:v>
                </c:pt>
                <c:pt idx="23">
                  <c:v>Jennifer Smith</c:v>
                </c:pt>
                <c:pt idx="24">
                  <c:v>Jessica Gonzalez</c:v>
                </c:pt>
                <c:pt idx="25">
                  <c:v>Jessica Johnson</c:v>
                </c:pt>
                <c:pt idx="26">
                  <c:v>Jessica Martinez</c:v>
                </c:pt>
                <c:pt idx="27">
                  <c:v>Jessica Smith</c:v>
                </c:pt>
                <c:pt idx="28">
                  <c:v>Jessica Wilson</c:v>
                </c:pt>
                <c:pt idx="29">
                  <c:v>John Smith</c:v>
                </c:pt>
                <c:pt idx="30">
                  <c:v>Kimberly Garcia</c:v>
                </c:pt>
                <c:pt idx="31">
                  <c:v>Laura Brown</c:v>
                </c:pt>
                <c:pt idx="32">
                  <c:v>Lisa Taylor</c:v>
                </c:pt>
                <c:pt idx="33">
                  <c:v>Matthew Garcia</c:v>
                </c:pt>
                <c:pt idx="34">
                  <c:v>Matthew Hernandez</c:v>
                </c:pt>
                <c:pt idx="35">
                  <c:v>Matthew Johnson</c:v>
                </c:pt>
                <c:pt idx="36">
                  <c:v>Matthew Smith</c:v>
                </c:pt>
                <c:pt idx="37">
                  <c:v>Matthew Wilson</c:v>
                </c:pt>
                <c:pt idx="38">
                  <c:v>Melissa Lopez</c:v>
                </c:pt>
                <c:pt idx="39">
                  <c:v>Michael Davis</c:v>
                </c:pt>
                <c:pt idx="40">
                  <c:v>Michael Garcia</c:v>
                </c:pt>
                <c:pt idx="41">
                  <c:v>Michael Johnson</c:v>
                </c:pt>
                <c:pt idx="42">
                  <c:v>Michael Martinez</c:v>
                </c:pt>
                <c:pt idx="43">
                  <c:v>Michael Smith</c:v>
                </c:pt>
                <c:pt idx="44">
                  <c:v>Richard Perez</c:v>
                </c:pt>
                <c:pt idx="45">
                  <c:v>Sarah Anderson</c:v>
                </c:pt>
                <c:pt idx="46">
                  <c:v>Sarah Garcia</c:v>
                </c:pt>
                <c:pt idx="47">
                  <c:v>Sarah Gonzalez</c:v>
                </c:pt>
                <c:pt idx="48">
                  <c:v>Sarah Johnson</c:v>
                </c:pt>
                <c:pt idx="49">
                  <c:v>Sarah Smith</c:v>
                </c:pt>
                <c:pt idx="50">
                  <c:v>William Hernandez</c:v>
                </c:pt>
              </c:strCache>
            </c:strRef>
          </c:cat>
          <c:val>
            <c:numRef>
              <c:f>'Pivot Table'!$F$5:$F$56</c:f>
              <c:numCache>
                <c:formatCode>General</c:formatCode>
                <c:ptCount val="51"/>
                <c:pt idx="9">
                  <c:v>32.988999999999997</c:v>
                </c:pt>
                <c:pt idx="12">
                  <c:v>32.988999999999997</c:v>
                </c:pt>
                <c:pt idx="20">
                  <c:v>32.988999999999997</c:v>
                </c:pt>
                <c:pt idx="23">
                  <c:v>32.988999999999997</c:v>
                </c:pt>
                <c:pt idx="27">
                  <c:v>32.988999999999997</c:v>
                </c:pt>
                <c:pt idx="42">
                  <c:v>32.988999999999997</c:v>
                </c:pt>
                <c:pt idx="50">
                  <c:v>32.988999999999997</c:v>
                </c:pt>
              </c:numCache>
            </c:numRef>
          </c:val>
          <c:extLst>
            <c:ext xmlns:c16="http://schemas.microsoft.com/office/drawing/2014/chart" uri="{C3380CC4-5D6E-409C-BE32-E72D297353CC}">
              <c16:uniqueId val="{00000004-966B-4A0B-A7B8-A3E0FB5A486F}"/>
            </c:ext>
          </c:extLst>
        </c:ser>
        <c:dLbls>
          <c:showLegendKey val="0"/>
          <c:showVal val="0"/>
          <c:showCatName val="0"/>
          <c:showSerName val="0"/>
          <c:showPercent val="0"/>
          <c:showBubbleSize val="0"/>
        </c:dLbls>
        <c:gapWidth val="150"/>
        <c:overlap val="100"/>
        <c:axId val="274558112"/>
        <c:axId val="274557280"/>
      </c:barChart>
      <c:catAx>
        <c:axId val="27455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557280"/>
        <c:crosses val="autoZero"/>
        <c:auto val="1"/>
        <c:lblAlgn val="ctr"/>
        <c:lblOffset val="100"/>
        <c:noMultiLvlLbl val="0"/>
      </c:catAx>
      <c:valAx>
        <c:axId val="274557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455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rot="0" anchor="ctr"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Sales.csv.xlsx]Pivot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Trends Over Time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ndard"/>
        <c:varyColors val="0"/>
        <c:ser>
          <c:idx val="0"/>
          <c:order val="0"/>
          <c:tx>
            <c:strRef>
              <c:f>'Pivot Table'!$B$60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Table'!$A$61:$A$62</c:f>
              <c:strCache>
                <c:ptCount val="1"/>
                <c:pt idx="0">
                  <c:v>Jan</c:v>
                </c:pt>
              </c:strCache>
            </c:strRef>
          </c:cat>
          <c:val>
            <c:numRef>
              <c:f>'Pivot Table'!$B$61:$B$62</c:f>
              <c:numCache>
                <c:formatCode>General</c:formatCode>
                <c:ptCount val="1"/>
                <c:pt idx="0">
                  <c:v>54.988999999999997</c:v>
                </c:pt>
              </c:numCache>
            </c:numRef>
          </c:val>
          <c:smooth val="0"/>
          <c:extLst>
            <c:ext xmlns:c16="http://schemas.microsoft.com/office/drawing/2014/chart" uri="{C3380CC4-5D6E-409C-BE32-E72D297353CC}">
              <c16:uniqueId val="{00000000-D98A-4830-A6CB-DB7F527572F7}"/>
            </c:ext>
          </c:extLst>
        </c:ser>
        <c:dLbls>
          <c:showLegendKey val="0"/>
          <c:showVal val="1"/>
          <c:showCatName val="0"/>
          <c:showSerName val="0"/>
          <c:showPercent val="0"/>
          <c:showBubbleSize val="0"/>
        </c:dLbls>
        <c:smooth val="0"/>
        <c:axId val="215295056"/>
        <c:axId val="215299216"/>
      </c:lineChart>
      <c:catAx>
        <c:axId val="215295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Date (Months)</a:t>
                </a:r>
                <a:endParaRPr lang="en-US"/>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299216"/>
        <c:crosses val="autoZero"/>
        <c:auto val="1"/>
        <c:lblAlgn val="ctr"/>
        <c:lblOffset val="100"/>
        <c:noMultiLvlLbl val="0"/>
      </c:catAx>
      <c:valAx>
        <c:axId val="215299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r>
                  <a:rPr lang="en-US" baseline="0"/>
                  <a:t> USD</a:t>
                </a:r>
                <a:endParaRPr lang="en-US"/>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2950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Sales.csv.xlsx]Pivot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Pricing vs. Volume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Table'!$B$81</c:f>
              <c:strCache>
                <c:ptCount val="1"/>
                <c:pt idx="0">
                  <c:v>Total</c:v>
                </c:pt>
              </c:strCache>
            </c:strRef>
          </c:tx>
          <c:spPr>
            <a:solidFill>
              <a:schemeClr val="accent1"/>
            </a:solidFill>
            <a:ln>
              <a:noFill/>
            </a:ln>
            <a:effectLst/>
          </c:spPr>
          <c:invertIfNegative val="0"/>
          <c:dLbls>
            <c:delete val="1"/>
          </c:dLbls>
          <c:cat>
            <c:strRef>
              <c:f>'Pivot Table'!$A$82</c:f>
              <c:strCache>
                <c:ptCount val="1"/>
                <c:pt idx="0">
                  <c:v>Grand Total</c:v>
                </c:pt>
              </c:strCache>
            </c:strRef>
          </c:cat>
          <c:val>
            <c:numRef>
              <c:f>'Pivot Table'!$B$82</c:f>
              <c:numCache>
                <c:formatCode>General</c:formatCode>
                <c:ptCount val="1"/>
              </c:numCache>
            </c:numRef>
          </c:val>
          <c:extLst>
            <c:ext xmlns:c16="http://schemas.microsoft.com/office/drawing/2014/chart" uri="{C3380CC4-5D6E-409C-BE32-E72D297353CC}">
              <c16:uniqueId val="{00000000-69C3-4005-98E6-622954D737E8}"/>
            </c:ext>
          </c:extLst>
        </c:ser>
        <c:dLbls>
          <c:dLblPos val="outEnd"/>
          <c:showLegendKey val="0"/>
          <c:showVal val="1"/>
          <c:showCatName val="0"/>
          <c:showSerName val="0"/>
          <c:showPercent val="0"/>
          <c:showBubbleSize val="0"/>
        </c:dLbls>
        <c:gapWidth val="219"/>
        <c:overlap val="-27"/>
        <c:axId val="215289232"/>
        <c:axId val="215293808"/>
      </c:barChart>
      <c:catAx>
        <c:axId val="215289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Retail</a:t>
                </a:r>
                <a:r>
                  <a:rPr lang="en-US" baseline="0"/>
                  <a:t> Price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293808"/>
        <c:crosses val="autoZero"/>
        <c:auto val="1"/>
        <c:lblAlgn val="ctr"/>
        <c:lblOffset val="100"/>
        <c:noMultiLvlLbl val="0"/>
      </c:catAx>
      <c:valAx>
        <c:axId val="2152938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Quantity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289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Sales.csv.xlsx]Pivot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Tax</a:t>
            </a:r>
            <a:r>
              <a:rPr lang="en-US" baseline="0"/>
              <a:t> vs. Net Revenue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pieChart>
        <c:varyColors val="1"/>
        <c:ser>
          <c:idx val="0"/>
          <c:order val="0"/>
          <c:tx>
            <c:strRef>
              <c:f>'Pivot Table'!$A$98</c:f>
              <c:strCache>
                <c:ptCount val="1"/>
                <c:pt idx="0">
                  <c:v>Sum of Tax (USD)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C1-448F-81F0-C2592E16FC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Table'!$A$99</c:f>
              <c:strCache>
                <c:ptCount val="1"/>
                <c:pt idx="0">
                  <c:v>Total</c:v>
                </c:pt>
              </c:strCache>
            </c:strRef>
          </c:cat>
          <c:val>
            <c:numRef>
              <c:f>'Pivot Table'!$A$99</c:f>
              <c:numCache>
                <c:formatCode>General</c:formatCode>
                <c:ptCount val="1"/>
                <c:pt idx="0">
                  <c:v>1.9990000000000001</c:v>
                </c:pt>
              </c:numCache>
            </c:numRef>
          </c:val>
          <c:extLst>
            <c:ext xmlns:c16="http://schemas.microsoft.com/office/drawing/2014/chart" uri="{C3380CC4-5D6E-409C-BE32-E72D297353CC}">
              <c16:uniqueId val="{00000002-2CC1-448F-81F0-C2592E16FC0F}"/>
            </c:ext>
          </c:extLst>
        </c:ser>
        <c:ser>
          <c:idx val="1"/>
          <c:order val="1"/>
          <c:tx>
            <c:strRef>
              <c:f>'Pivot Table'!$B$98</c:f>
              <c:strCache>
                <c:ptCount val="1"/>
                <c:pt idx="0">
                  <c:v>Sum of Net Revenue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2CC1-448F-81F0-C2592E16FC0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Table'!$A$99</c:f>
              <c:strCache>
                <c:ptCount val="1"/>
                <c:pt idx="0">
                  <c:v>Total</c:v>
                </c:pt>
              </c:strCache>
            </c:strRef>
          </c:cat>
          <c:val>
            <c:numRef>
              <c:f>'Pivot Table'!$B$99</c:f>
              <c:numCache>
                <c:formatCode>General</c:formatCode>
                <c:ptCount val="1"/>
                <c:pt idx="0">
                  <c:v>19.989999999999998</c:v>
                </c:pt>
              </c:numCache>
            </c:numRef>
          </c:val>
          <c:extLst>
            <c:ext xmlns:c16="http://schemas.microsoft.com/office/drawing/2014/chart" uri="{C3380CC4-5D6E-409C-BE32-E72D297353CC}">
              <c16:uniqueId val="{00000005-2CC1-448F-81F0-C2592E16FC0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Sales.csv.xlsx]Pivot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Size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Table'!$B$117</c:f>
              <c:strCache>
                <c:ptCount val="1"/>
                <c:pt idx="0">
                  <c:v>Total</c:v>
                </c:pt>
              </c:strCache>
            </c:strRef>
          </c:tx>
          <c:spPr>
            <a:solidFill>
              <a:schemeClr val="accent1"/>
            </a:solidFill>
            <a:ln>
              <a:noFill/>
            </a:ln>
            <a:effectLst/>
          </c:spPr>
          <c:invertIfNegative val="0"/>
          <c:cat>
            <c:strRef>
              <c:f>'Pivot Table'!$A$118:$A$119</c:f>
              <c:strCache>
                <c:ptCount val="1"/>
                <c:pt idx="0">
                  <c:v>4</c:v>
                </c:pt>
              </c:strCache>
            </c:strRef>
          </c:cat>
          <c:val>
            <c:numRef>
              <c:f>'Pivot Table'!$B$118:$B$119</c:f>
              <c:numCache>
                <c:formatCode>General</c:formatCode>
                <c:ptCount val="1"/>
                <c:pt idx="0">
                  <c:v>8</c:v>
                </c:pt>
              </c:numCache>
            </c:numRef>
          </c:val>
          <c:extLst>
            <c:ext xmlns:c16="http://schemas.microsoft.com/office/drawing/2014/chart" uri="{C3380CC4-5D6E-409C-BE32-E72D297353CC}">
              <c16:uniqueId val="{00000000-7398-48E5-9BC8-773A743113AE}"/>
            </c:ext>
          </c:extLst>
        </c:ser>
        <c:dLbls>
          <c:showLegendKey val="0"/>
          <c:showVal val="0"/>
          <c:showCatName val="0"/>
          <c:showSerName val="0"/>
          <c:showPercent val="0"/>
          <c:showBubbleSize val="0"/>
        </c:dLbls>
        <c:gapWidth val="219"/>
        <c:overlap val="-27"/>
        <c:axId val="1590685151"/>
        <c:axId val="1590682239"/>
      </c:barChart>
      <c:catAx>
        <c:axId val="1590685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Quantity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682239"/>
        <c:crosses val="autoZero"/>
        <c:auto val="1"/>
        <c:lblAlgn val="ctr"/>
        <c:lblOffset val="100"/>
        <c:noMultiLvlLbl val="0"/>
      </c:catAx>
      <c:valAx>
        <c:axId val="15906822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r>
                  <a:rPr lang="en-US" baseline="0"/>
                  <a:t> of order No</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685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Sales.csv.xlsx]Pivot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Shipping Volume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ndard"/>
        <c:varyColors val="0"/>
        <c:ser>
          <c:idx val="0"/>
          <c:order val="0"/>
          <c:tx>
            <c:strRef>
              <c:f>'Pivot Table'!$B$135</c:f>
              <c:strCache>
                <c:ptCount val="1"/>
                <c:pt idx="0">
                  <c:v>Total</c:v>
                </c:pt>
              </c:strCache>
            </c:strRef>
          </c:tx>
          <c:spPr>
            <a:solidFill>
              <a:schemeClr val="accent1"/>
            </a:solidFill>
            <a:ln>
              <a:noFill/>
            </a:ln>
            <a:effectLst/>
          </c:spPr>
          <c:cat>
            <c:strRef>
              <c:f>'Pivot Table'!$A$136:$A$138</c:f>
              <c:strCache>
                <c:ptCount val="2"/>
                <c:pt idx="0">
                  <c:v>Jan</c:v>
                </c:pt>
                <c:pt idx="1">
                  <c:v>Feb</c:v>
                </c:pt>
              </c:strCache>
            </c:strRef>
          </c:cat>
          <c:val>
            <c:numRef>
              <c:f>'Pivot Table'!$B$136:$B$138</c:f>
              <c:numCache>
                <c:formatCode>General</c:formatCode>
                <c:ptCount val="2"/>
                <c:pt idx="0">
                  <c:v>141</c:v>
                </c:pt>
                <c:pt idx="1">
                  <c:v>27</c:v>
                </c:pt>
              </c:numCache>
            </c:numRef>
          </c:val>
          <c:extLst>
            <c:ext xmlns:c16="http://schemas.microsoft.com/office/drawing/2014/chart" uri="{C3380CC4-5D6E-409C-BE32-E72D297353CC}">
              <c16:uniqueId val="{00000000-E7AC-4AFC-8D74-0942C8E9A9E2}"/>
            </c:ext>
          </c:extLst>
        </c:ser>
        <c:dLbls>
          <c:showLegendKey val="0"/>
          <c:showVal val="0"/>
          <c:showCatName val="0"/>
          <c:showSerName val="0"/>
          <c:showPercent val="0"/>
          <c:showBubbleSize val="0"/>
        </c:dLbls>
        <c:axId val="1487942079"/>
        <c:axId val="1487950815"/>
      </c:areaChart>
      <c:catAx>
        <c:axId val="1487942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Ship</a:t>
                </a:r>
                <a:r>
                  <a:rPr lang="en-US" baseline="0"/>
                  <a:t> Date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950815"/>
        <c:crosses val="autoZero"/>
        <c:auto val="1"/>
        <c:lblAlgn val="ctr"/>
        <c:lblOffset val="100"/>
        <c:noMultiLvlLbl val="0"/>
      </c:catAx>
      <c:valAx>
        <c:axId val="14879508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Quantity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9420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Sales.csv.xlsx]Pivot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a:t>
            </a:r>
            <a:r>
              <a:rPr lang="en-US" baseline="0"/>
              <a:t> Value" Shipping Lag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Table'!$B$153:$B$155</c:f>
              <c:strCache>
                <c:ptCount val="1"/>
                <c:pt idx="0">
                  <c:v>&lt;1/3/2024</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Table'!$A$156:$A$159</c:f>
              <c:strCache>
                <c:ptCount val="3"/>
                <c:pt idx="0">
                  <c:v>&lt;1/1/2024</c:v>
                </c:pt>
                <c:pt idx="1">
                  <c:v>Jan</c:v>
                </c:pt>
                <c:pt idx="2">
                  <c:v>Feb</c:v>
                </c:pt>
              </c:strCache>
            </c:strRef>
          </c:cat>
          <c:val>
            <c:numRef>
              <c:f>'Pivot Table'!$B$156:$B$159</c:f>
              <c:numCache>
                <c:formatCode>General</c:formatCode>
                <c:ptCount val="3"/>
              </c:numCache>
            </c:numRef>
          </c:val>
          <c:extLst>
            <c:ext xmlns:c16="http://schemas.microsoft.com/office/drawing/2014/chart" uri="{C3380CC4-5D6E-409C-BE32-E72D297353CC}">
              <c16:uniqueId val="{00000000-886D-4C42-A877-AE148EEF8E80}"/>
            </c:ext>
          </c:extLst>
        </c:ser>
        <c:ser>
          <c:idx val="1"/>
          <c:order val="1"/>
          <c:tx>
            <c:strRef>
              <c:f>'Pivot Table'!$C$153:$C$155</c:f>
              <c:strCache>
                <c:ptCount val="1"/>
                <c:pt idx="0">
                  <c:v>Jan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Table'!$A$156:$A$159</c:f>
              <c:strCache>
                <c:ptCount val="3"/>
                <c:pt idx="0">
                  <c:v>&lt;1/1/2024</c:v>
                </c:pt>
                <c:pt idx="1">
                  <c:v>Jan</c:v>
                </c:pt>
                <c:pt idx="2">
                  <c:v>Feb</c:v>
                </c:pt>
              </c:strCache>
            </c:strRef>
          </c:cat>
          <c:val>
            <c:numRef>
              <c:f>'Pivot Table'!$C$156:$C$159</c:f>
              <c:numCache>
                <c:formatCode>General</c:formatCode>
                <c:ptCount val="3"/>
                <c:pt idx="1">
                  <c:v>84.227288135593099</c:v>
                </c:pt>
              </c:numCache>
            </c:numRef>
          </c:val>
          <c:extLst>
            <c:ext xmlns:c16="http://schemas.microsoft.com/office/drawing/2014/chart" uri="{C3380CC4-5D6E-409C-BE32-E72D297353CC}">
              <c16:uniqueId val="{00000001-886D-4C42-A877-AE148EEF8E80}"/>
            </c:ext>
          </c:extLst>
        </c:ser>
        <c:dLbls>
          <c:showLegendKey val="0"/>
          <c:showVal val="1"/>
          <c:showCatName val="0"/>
          <c:showSerName val="0"/>
          <c:showPercent val="0"/>
          <c:showBubbleSize val="0"/>
        </c:dLbls>
        <c:gapWidth val="219"/>
        <c:overlap val="-27"/>
        <c:axId val="1487950399"/>
        <c:axId val="1487938751"/>
      </c:barChart>
      <c:lineChart>
        <c:grouping val="standard"/>
        <c:varyColors val="0"/>
        <c:ser>
          <c:idx val="2"/>
          <c:order val="2"/>
          <c:tx>
            <c:strRef>
              <c:f>'Pivot Table'!$D$153:$D$155</c:f>
              <c:strCache>
                <c:ptCount val="1"/>
                <c:pt idx="0">
                  <c:v>Feb</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Table'!$A$156:$A$159</c:f>
              <c:strCache>
                <c:ptCount val="3"/>
                <c:pt idx="0">
                  <c:v>&lt;1/1/2024</c:v>
                </c:pt>
                <c:pt idx="1">
                  <c:v>Jan</c:v>
                </c:pt>
                <c:pt idx="2">
                  <c:v>Feb</c:v>
                </c:pt>
              </c:strCache>
            </c:strRef>
          </c:cat>
          <c:val>
            <c:numRef>
              <c:f>'Pivot Table'!$D$156:$D$159</c:f>
              <c:numCache>
                <c:formatCode>General</c:formatCode>
                <c:ptCount val="3"/>
                <c:pt idx="1">
                  <c:v>79.989999999999995</c:v>
                </c:pt>
                <c:pt idx="2">
                  <c:v>87.49</c:v>
                </c:pt>
              </c:numCache>
            </c:numRef>
          </c:val>
          <c:smooth val="0"/>
          <c:extLst>
            <c:ext xmlns:c16="http://schemas.microsoft.com/office/drawing/2014/chart" uri="{C3380CC4-5D6E-409C-BE32-E72D297353CC}">
              <c16:uniqueId val="{00000002-886D-4C42-A877-AE148EEF8E80}"/>
            </c:ext>
          </c:extLst>
        </c:ser>
        <c:dLbls>
          <c:showLegendKey val="0"/>
          <c:showVal val="1"/>
          <c:showCatName val="0"/>
          <c:showSerName val="0"/>
          <c:showPercent val="0"/>
          <c:showBubbleSize val="0"/>
        </c:dLbls>
        <c:marker val="1"/>
        <c:smooth val="0"/>
        <c:axId val="1487950399"/>
        <c:axId val="1487938751"/>
      </c:lineChart>
      <c:catAx>
        <c:axId val="14879503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Date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938751"/>
        <c:crosses val="autoZero"/>
        <c:auto val="1"/>
        <c:lblAlgn val="ctr"/>
        <c:lblOffset val="100"/>
        <c:noMultiLvlLbl val="0"/>
      </c:catAx>
      <c:valAx>
        <c:axId val="1487938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Retail</a:t>
                </a:r>
                <a:r>
                  <a:rPr lang="en-US" baseline="0"/>
                  <a:t> Price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95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8</xdr:col>
      <xdr:colOff>395287</xdr:colOff>
      <xdr:row>6</xdr:row>
      <xdr:rowOff>133350</xdr:rowOff>
    </xdr:from>
    <xdr:to>
      <xdr:col>15</xdr:col>
      <xdr:colOff>223837</xdr:colOff>
      <xdr:row>29</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361950</xdr:colOff>
      <xdr:row>58</xdr:row>
      <xdr:rowOff>142876</xdr:rowOff>
    </xdr:from>
    <xdr:to>
      <xdr:col>14</xdr:col>
      <xdr:colOff>285750</xdr:colOff>
      <xdr:row>75</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42862</xdr:colOff>
      <xdr:row>79</xdr:row>
      <xdr:rowOff>66675</xdr:rowOff>
    </xdr:from>
    <xdr:to>
      <xdr:col>8</xdr:col>
      <xdr:colOff>233362</xdr:colOff>
      <xdr:row>92</xdr:row>
      <xdr:rowOff>161925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719137</xdr:colOff>
      <xdr:row>96</xdr:row>
      <xdr:rowOff>171450</xdr:rowOff>
    </xdr:from>
    <xdr:to>
      <xdr:col>8</xdr:col>
      <xdr:colOff>4762</xdr:colOff>
      <xdr:row>112</xdr:row>
      <xdr:rowOff>19050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633412</xdr:colOff>
      <xdr:row>116</xdr:row>
      <xdr:rowOff>19050</xdr:rowOff>
    </xdr:from>
    <xdr:to>
      <xdr:col>7</xdr:col>
      <xdr:colOff>366712</xdr:colOff>
      <xdr:row>130</xdr:row>
      <xdr:rowOff>19050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681037</xdr:colOff>
      <xdr:row>132</xdr:row>
      <xdr:rowOff>171450</xdr:rowOff>
    </xdr:from>
    <xdr:to>
      <xdr:col>7</xdr:col>
      <xdr:colOff>414337</xdr:colOff>
      <xdr:row>148</xdr:row>
      <xdr:rowOff>19050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395287</xdr:colOff>
      <xdr:row>151</xdr:row>
      <xdr:rowOff>142875</xdr:rowOff>
    </xdr:from>
    <xdr:to>
      <xdr:col>13</xdr:col>
      <xdr:colOff>223837</xdr:colOff>
      <xdr:row>166</xdr:row>
      <xdr:rowOff>171450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49</xdr:row>
      <xdr:rowOff>85726</xdr:rowOff>
    </xdr:from>
    <xdr:to>
      <xdr:col>10</xdr:col>
      <xdr:colOff>57150</xdr:colOff>
      <xdr:row>61</xdr:row>
      <xdr:rowOff>161925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9526</xdr:colOff>
      <xdr:row>8</xdr:row>
      <xdr:rowOff>152400</xdr:rowOff>
    </xdr:from>
    <xdr:to>
      <xdr:col>5</xdr:col>
      <xdr:colOff>333376</xdr:colOff>
      <xdr:row>21</xdr:row>
      <xdr:rowOff>47625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333375</xdr:colOff>
      <xdr:row>21</xdr:row>
      <xdr:rowOff>95251</xdr:rowOff>
    </xdr:from>
    <xdr:to>
      <xdr:col>10</xdr:col>
      <xdr:colOff>47625</xdr:colOff>
      <xdr:row>35</xdr:row>
      <xdr:rowOff>76201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342900</xdr:colOff>
      <xdr:row>8</xdr:row>
      <xdr:rowOff>152400</xdr:rowOff>
    </xdr:from>
    <xdr:to>
      <xdr:col>10</xdr:col>
      <xdr:colOff>28575</xdr:colOff>
      <xdr:row>21</xdr:row>
      <xdr:rowOff>95250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xdr:colOff>
      <xdr:row>21</xdr:row>
      <xdr:rowOff>47625</xdr:rowOff>
    </xdr:from>
    <xdr:to>
      <xdr:col>5</xdr:col>
      <xdr:colOff>342901</xdr:colOff>
      <xdr:row>35</xdr:row>
      <xdr:rowOff>95250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xdr:colOff>
      <xdr:row>35</xdr:row>
      <xdr:rowOff>66675</xdr:rowOff>
    </xdr:from>
    <xdr:to>
      <xdr:col>5</xdr:col>
      <xdr:colOff>342901</xdr:colOff>
      <xdr:row>49</xdr:row>
      <xdr:rowOff>76200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342900</xdr:colOff>
      <xdr:row>35</xdr:row>
      <xdr:rowOff>57150</xdr:rowOff>
    </xdr:from>
    <xdr:to>
      <xdr:col>10</xdr:col>
      <xdr:colOff>57150</xdr:colOff>
      <xdr:row>49</xdr:row>
      <xdr:rowOff>85725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0</xdr:col>
      <xdr:colOff>200025</xdr:colOff>
      <xdr:row>3</xdr:row>
      <xdr:rowOff>123826</xdr:rowOff>
    </xdr:from>
    <xdr:ext cx="6629399" cy="737960"/>
    <xdr:sp macro="" textlink="">
      <xdr:nvSpPr>
        <xdr:cNvPr id="9" name="TextBox 8"/>
        <xdr:cNvSpPr txBox="1"/>
      </xdr:nvSpPr>
      <xdr:spPr>
        <a:xfrm>
          <a:off x="200025" y="666751"/>
          <a:ext cx="6629399" cy="737960"/>
        </a:xfrm>
        <a:prstGeom prst="rect">
          <a:avLst/>
        </a:prstGeom>
        <a:solidFill>
          <a:schemeClr val="accent5">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400">
              <a:solidFill>
                <a:schemeClr val="accent4"/>
              </a:solidFill>
              <a:latin typeface="Arial Black" panose="020B0A04020102020204" pitchFamily="34" charset="0"/>
            </a:rPr>
            <a:t>SUPERMARKET SALES DASHBOARD</a:t>
          </a:r>
        </a:p>
      </xdr:txBody>
    </xdr:sp>
    <xdr:clientData/>
  </xdr:oneCellAnchor>
  <xdr:twoCellAnchor editAs="oneCell">
    <xdr:from>
      <xdr:col>10</xdr:col>
      <xdr:colOff>101361</xdr:colOff>
      <xdr:row>8</xdr:row>
      <xdr:rowOff>99744</xdr:rowOff>
    </xdr:from>
    <xdr:to>
      <xdr:col>12</xdr:col>
      <xdr:colOff>564312</xdr:colOff>
      <xdr:row>21</xdr:row>
      <xdr:rowOff>8987</xdr:rowOff>
    </xdr:to>
    <mc:AlternateContent xmlns:mc="http://schemas.openxmlformats.org/markup-compatibility/2006" xmlns:a14="http://schemas.microsoft.com/office/drawing/2010/main">
      <mc:Choice Requires="a14">
        <xdr:graphicFrame macro="">
          <xdr:nvGraphicFramePr>
            <xdr:cNvPr id="10" name="Order No"/>
            <xdr:cNvGraphicFramePr/>
          </xdr:nvGraphicFramePr>
          <xdr:xfrm>
            <a:off x="0" y="0"/>
            <a:ext cx="0" cy="0"/>
          </xdr:xfrm>
          <a:graphic>
            <a:graphicData uri="http://schemas.microsoft.com/office/drawing/2010/slicer">
              <sle:slicer xmlns:sle="http://schemas.microsoft.com/office/drawing/2010/slicer" name="Order No"/>
            </a:graphicData>
          </a:graphic>
        </xdr:graphicFrame>
      </mc:Choice>
      <mc:Fallback xmlns="">
        <xdr:sp macro="" textlink="">
          <xdr:nvSpPr>
            <xdr:cNvPr id="0" name=""/>
            <xdr:cNvSpPr>
              <a:spLocks noTextEdit="1"/>
            </xdr:cNvSpPr>
          </xdr:nvSpPr>
          <xdr:spPr>
            <a:xfrm>
              <a:off x="6948578" y="1537480"/>
              <a:ext cx="1828800" cy="22455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568625</xdr:colOff>
      <xdr:row>8</xdr:row>
      <xdr:rowOff>91837</xdr:rowOff>
    </xdr:from>
    <xdr:to>
      <xdr:col>15</xdr:col>
      <xdr:colOff>348651</xdr:colOff>
      <xdr:row>21</xdr:row>
      <xdr:rowOff>8986</xdr:rowOff>
    </xdr:to>
    <mc:AlternateContent xmlns:mc="http://schemas.openxmlformats.org/markup-compatibility/2006" xmlns:a14="http://schemas.microsoft.com/office/drawing/2010/main">
      <mc:Choice Requires="a14">
        <xdr:graphicFrame macro="">
          <xdr:nvGraphicFramePr>
            <xdr:cNvPr id="11" name="Order Date"/>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8781691" y="1529573"/>
              <a:ext cx="1828800" cy="22534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101360</xdr:colOff>
      <xdr:row>21</xdr:row>
      <xdr:rowOff>19948</xdr:rowOff>
    </xdr:from>
    <xdr:to>
      <xdr:col>12</xdr:col>
      <xdr:colOff>564311</xdr:colOff>
      <xdr:row>35</xdr:row>
      <xdr:rowOff>28036</xdr:rowOff>
    </xdr:to>
    <mc:AlternateContent xmlns:mc="http://schemas.openxmlformats.org/markup-compatibility/2006" xmlns:a14="http://schemas.microsoft.com/office/drawing/2010/main">
      <mc:Choice Requires="a14">
        <xdr:graphicFrame macro="">
          <xdr:nvGraphicFramePr>
            <xdr:cNvPr id="12" name="Tax (USD)"/>
            <xdr:cNvGraphicFramePr/>
          </xdr:nvGraphicFramePr>
          <xdr:xfrm>
            <a:off x="0" y="0"/>
            <a:ext cx="0" cy="0"/>
          </xdr:xfrm>
          <a:graphic>
            <a:graphicData uri="http://schemas.microsoft.com/office/drawing/2010/slicer">
              <sle:slicer xmlns:sle="http://schemas.microsoft.com/office/drawing/2010/slicer" name="Tax (USD)"/>
            </a:graphicData>
          </a:graphic>
        </xdr:graphicFrame>
      </mc:Choice>
      <mc:Fallback xmlns="">
        <xdr:sp macro="" textlink="">
          <xdr:nvSpPr>
            <xdr:cNvPr id="0" name=""/>
            <xdr:cNvSpPr>
              <a:spLocks noTextEdit="1"/>
            </xdr:cNvSpPr>
          </xdr:nvSpPr>
          <xdr:spPr>
            <a:xfrm>
              <a:off x="6948577" y="379400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559638</xdr:colOff>
      <xdr:row>21</xdr:row>
      <xdr:rowOff>8446</xdr:rowOff>
    </xdr:from>
    <xdr:to>
      <xdr:col>15</xdr:col>
      <xdr:colOff>339664</xdr:colOff>
      <xdr:row>35</xdr:row>
      <xdr:rowOff>16534</xdr:rowOff>
    </xdr:to>
    <mc:AlternateContent xmlns:mc="http://schemas.openxmlformats.org/markup-compatibility/2006" xmlns:a14="http://schemas.microsoft.com/office/drawing/2010/main">
      <mc:Choice Requires="a14">
        <xdr:graphicFrame macro="">
          <xdr:nvGraphicFramePr>
            <xdr:cNvPr id="13" name="Net Revenue"/>
            <xdr:cNvGraphicFramePr/>
          </xdr:nvGraphicFramePr>
          <xdr:xfrm>
            <a:off x="0" y="0"/>
            <a:ext cx="0" cy="0"/>
          </xdr:xfrm>
          <a:graphic>
            <a:graphicData uri="http://schemas.microsoft.com/office/drawing/2010/slicer">
              <sle:slicer xmlns:sle="http://schemas.microsoft.com/office/drawing/2010/slicer" name="Net Revenue"/>
            </a:graphicData>
          </a:graphic>
        </xdr:graphicFrame>
      </mc:Choice>
      <mc:Fallback xmlns="">
        <xdr:sp macro="" textlink="">
          <xdr:nvSpPr>
            <xdr:cNvPr id="0" name=""/>
            <xdr:cNvSpPr>
              <a:spLocks noTextEdit="1"/>
            </xdr:cNvSpPr>
          </xdr:nvSpPr>
          <xdr:spPr>
            <a:xfrm>
              <a:off x="8772704" y="378250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110347</xdr:colOff>
      <xdr:row>35</xdr:row>
      <xdr:rowOff>51939</xdr:rowOff>
    </xdr:from>
    <xdr:to>
      <xdr:col>12</xdr:col>
      <xdr:colOff>573298</xdr:colOff>
      <xdr:row>49</xdr:row>
      <xdr:rowOff>60026</xdr:rowOff>
    </xdr:to>
    <mc:AlternateContent xmlns:mc="http://schemas.openxmlformats.org/markup-compatibility/2006" xmlns:a14="http://schemas.microsoft.com/office/drawing/2010/main">
      <mc:Choice Requires="a14">
        <xdr:graphicFrame macro="">
          <xdr:nvGraphicFramePr>
            <xdr:cNvPr id="14" name="Customer Name"/>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6957564" y="634203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361949</xdr:colOff>
      <xdr:row>21</xdr:row>
      <xdr:rowOff>8266</xdr:rowOff>
    </xdr:from>
    <xdr:to>
      <xdr:col>18</xdr:col>
      <xdr:colOff>141976</xdr:colOff>
      <xdr:row>35</xdr:row>
      <xdr:rowOff>16354</xdr:rowOff>
    </xdr:to>
    <mc:AlternateContent xmlns:mc="http://schemas.openxmlformats.org/markup-compatibility/2006" xmlns:a14="http://schemas.microsoft.com/office/drawing/2010/main">
      <mc:Choice Requires="a14">
        <xdr:graphicFrame macro="">
          <xdr:nvGraphicFramePr>
            <xdr:cNvPr id="15" name="Retail Price (USD)"/>
            <xdr:cNvGraphicFramePr/>
          </xdr:nvGraphicFramePr>
          <xdr:xfrm>
            <a:off x="0" y="0"/>
            <a:ext cx="0" cy="0"/>
          </xdr:xfrm>
          <a:graphic>
            <a:graphicData uri="http://schemas.microsoft.com/office/drawing/2010/slicer">
              <sle:slicer xmlns:sle="http://schemas.microsoft.com/office/drawing/2010/slicer" name="Retail Price (USD)"/>
            </a:graphicData>
          </a:graphic>
        </xdr:graphicFrame>
      </mc:Choice>
      <mc:Fallback xmlns="">
        <xdr:sp macro="" textlink="">
          <xdr:nvSpPr>
            <xdr:cNvPr id="0" name=""/>
            <xdr:cNvSpPr>
              <a:spLocks noTextEdit="1"/>
            </xdr:cNvSpPr>
          </xdr:nvSpPr>
          <xdr:spPr>
            <a:xfrm>
              <a:off x="10623789" y="378232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406519</xdr:colOff>
      <xdr:row>8</xdr:row>
      <xdr:rowOff>107829</xdr:rowOff>
    </xdr:from>
    <xdr:to>
      <xdr:col>18</xdr:col>
      <xdr:colOff>186546</xdr:colOff>
      <xdr:row>20</xdr:row>
      <xdr:rowOff>170730</xdr:rowOff>
    </xdr:to>
    <mc:AlternateContent xmlns:mc="http://schemas.openxmlformats.org/markup-compatibility/2006" xmlns:a14="http://schemas.microsoft.com/office/drawing/2010/main">
      <mc:Choice Requires="a14">
        <xdr:graphicFrame macro="">
          <xdr:nvGraphicFramePr>
            <xdr:cNvPr id="16" name="Ship Date"/>
            <xdr:cNvGraphicFramePr/>
          </xdr:nvGraphicFramePr>
          <xdr:xfrm>
            <a:off x="0" y="0"/>
            <a:ext cx="0" cy="0"/>
          </xdr:xfrm>
          <a:graphic>
            <a:graphicData uri="http://schemas.microsoft.com/office/drawing/2010/slicer">
              <sle:slicer xmlns:sle="http://schemas.microsoft.com/office/drawing/2010/slicer" name="Ship Date"/>
            </a:graphicData>
          </a:graphic>
        </xdr:graphicFrame>
      </mc:Choice>
      <mc:Fallback xmlns="">
        <xdr:sp macro="" textlink="">
          <xdr:nvSpPr>
            <xdr:cNvPr id="0" name=""/>
            <xdr:cNvSpPr>
              <a:spLocks noTextEdit="1"/>
            </xdr:cNvSpPr>
          </xdr:nvSpPr>
          <xdr:spPr>
            <a:xfrm>
              <a:off x="10668359" y="1545565"/>
              <a:ext cx="1828800" cy="22195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568264</xdr:colOff>
      <xdr:row>35</xdr:row>
      <xdr:rowOff>64878</xdr:rowOff>
    </xdr:from>
    <xdr:to>
      <xdr:col>15</xdr:col>
      <xdr:colOff>348290</xdr:colOff>
      <xdr:row>49</xdr:row>
      <xdr:rowOff>72965</xdr:rowOff>
    </xdr:to>
    <mc:AlternateContent xmlns:mc="http://schemas.openxmlformats.org/markup-compatibility/2006" xmlns:a14="http://schemas.microsoft.com/office/drawing/2010/main">
      <mc:Choice Requires="a14">
        <xdr:graphicFrame macro="">
          <xdr:nvGraphicFramePr>
            <xdr:cNvPr id="17" name="Total (USD)"/>
            <xdr:cNvGraphicFramePr/>
          </xdr:nvGraphicFramePr>
          <xdr:xfrm>
            <a:off x="0" y="0"/>
            <a:ext cx="0" cy="0"/>
          </xdr:xfrm>
          <a:graphic>
            <a:graphicData uri="http://schemas.microsoft.com/office/drawing/2010/slicer">
              <sle:slicer xmlns:sle="http://schemas.microsoft.com/office/drawing/2010/slicer" name="Total (USD)"/>
            </a:graphicData>
          </a:graphic>
        </xdr:graphicFrame>
      </mc:Choice>
      <mc:Fallback xmlns="">
        <xdr:sp macro="" textlink="">
          <xdr:nvSpPr>
            <xdr:cNvPr id="0" name=""/>
            <xdr:cNvSpPr>
              <a:spLocks noTextEdit="1"/>
            </xdr:cNvSpPr>
          </xdr:nvSpPr>
          <xdr:spPr>
            <a:xfrm>
              <a:off x="8781330" y="635497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406520</xdr:colOff>
      <xdr:row>35</xdr:row>
      <xdr:rowOff>64339</xdr:rowOff>
    </xdr:from>
    <xdr:to>
      <xdr:col>18</xdr:col>
      <xdr:colOff>186547</xdr:colOff>
      <xdr:row>49</xdr:row>
      <xdr:rowOff>62901</xdr:rowOff>
    </xdr:to>
    <mc:AlternateContent xmlns:mc="http://schemas.openxmlformats.org/markup-compatibility/2006" xmlns:a14="http://schemas.microsoft.com/office/drawing/2010/main">
      <mc:Choice Requires="a14">
        <xdr:graphicFrame macro="">
          <xdr:nvGraphicFramePr>
            <xdr:cNvPr id="18" name="Order Quantity"/>
            <xdr:cNvGraphicFramePr/>
          </xdr:nvGraphicFramePr>
          <xdr:xfrm>
            <a:off x="0" y="0"/>
            <a:ext cx="0" cy="0"/>
          </xdr:xfrm>
          <a:graphic>
            <a:graphicData uri="http://schemas.microsoft.com/office/drawing/2010/slicer">
              <sle:slicer xmlns:sle="http://schemas.microsoft.com/office/drawing/2010/slicer" name="Order Quantity"/>
            </a:graphicData>
          </a:graphic>
        </xdr:graphicFrame>
      </mc:Choice>
      <mc:Fallback xmlns="">
        <xdr:sp macro="" textlink="">
          <xdr:nvSpPr>
            <xdr:cNvPr id="0" name=""/>
            <xdr:cNvSpPr>
              <a:spLocks noTextEdit="1"/>
            </xdr:cNvSpPr>
          </xdr:nvSpPr>
          <xdr:spPr>
            <a:xfrm>
              <a:off x="10668360" y="6354433"/>
              <a:ext cx="1828800" cy="2514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143055</xdr:colOff>
      <xdr:row>49</xdr:row>
      <xdr:rowOff>96688</xdr:rowOff>
    </xdr:from>
    <xdr:to>
      <xdr:col>12</xdr:col>
      <xdr:colOff>606006</xdr:colOff>
      <xdr:row>61</xdr:row>
      <xdr:rowOff>170732</xdr:rowOff>
    </xdr:to>
    <mc:AlternateContent xmlns:mc="http://schemas.openxmlformats.org/markup-compatibility/2006" xmlns:a14="http://schemas.microsoft.com/office/drawing/2010/main">
      <mc:Choice Requires="a14">
        <xdr:graphicFrame macro="">
          <xdr:nvGraphicFramePr>
            <xdr:cNvPr id="19"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6990272" y="8902820"/>
              <a:ext cx="1828800" cy="22306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6159.688507407409" createdVersion="6" refreshedVersion="6" minRefreshableVersion="3" recordCount="70">
  <cacheSource type="worksheet">
    <worksheetSource ref="A1:I71" sheet="Worksheet"/>
  </cacheSource>
  <cacheFields count="11">
    <cacheField name="Order No" numFmtId="0">
      <sharedItems count="70">
        <s v="1001"/>
        <s v="1002"/>
        <s v="1004"/>
        <s v="1003"/>
        <s v="1006"/>
        <s v="1005"/>
        <s v="1007"/>
        <s v="1008"/>
        <s v="1009"/>
        <s v="1010"/>
        <s v="1011"/>
        <s v="1012"/>
        <s v="1013"/>
        <s v="1014"/>
        <s v="1016"/>
        <s v="1015"/>
        <s v="1018"/>
        <s v="1017"/>
        <s v="1019"/>
        <s v="1020"/>
        <s v="1021"/>
        <s v="1022"/>
        <s v="1023"/>
        <s v="1024"/>
        <s v="1026"/>
        <s v="1025"/>
        <s v="1027"/>
        <s v="1028"/>
        <s v="1029"/>
        <s v="1030"/>
        <s v="1032"/>
        <s v="1031"/>
        <s v="1033"/>
        <s v="1034"/>
        <s v="1036"/>
        <s v="1035"/>
        <s v="1037"/>
        <s v="1038"/>
        <s v="1040"/>
        <s v="1039"/>
        <s v="1042"/>
        <s v="1041"/>
        <s v="1044"/>
        <s v="1043"/>
        <s v="1046"/>
        <s v="1045"/>
        <s v="1047"/>
        <s v="1048"/>
        <s v="1050"/>
        <s v="1049"/>
        <s v="1052"/>
        <s v="1051"/>
        <s v="1053"/>
        <s v="1054"/>
        <s v="1056"/>
        <s v="1055"/>
        <s v="1057"/>
        <s v="1058"/>
        <s v="1059"/>
        <s v="1060"/>
        <s v="1061"/>
        <s v="1062"/>
        <s v="1063"/>
        <s v="1065"/>
        <s v="1064"/>
        <s v="1066"/>
        <s v="1067"/>
        <s v="1068"/>
        <s v="1070"/>
        <s v="1069"/>
      </sharedItems>
    </cacheField>
    <cacheField name="Order Date" numFmtId="14">
      <sharedItems containsSemiMixedTypes="0" containsNonDate="0" containsDate="1" containsString="0" minDate="2024-01-01T00:00:00" maxDate="2024-02-05T00:00:00" count="35">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sharedItems>
      <fieldGroup par="9" base="1">
        <rangePr groupBy="days" startDate="2024-01-01T00:00:00" endDate="2024-02-05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5/2024"/>
        </groupItems>
      </fieldGroup>
    </cacheField>
    <cacheField name="Customer Name" numFmtId="0">
      <sharedItems count="51">
        <s v="John Smith"/>
        <s v="Jane Doe"/>
        <s v="Emily Brown"/>
        <s v="Michael Johnson"/>
        <s v="Lisa Taylor"/>
        <s v="David Wilson"/>
        <s v="Daniel Martinez"/>
        <s v="Sarah Anderson"/>
        <s v="Christopher Thomas"/>
        <s v="Kimberly Garcia"/>
        <s v="William Hernandez"/>
        <s v="Melissa Lopez"/>
        <s v="Richard Perez"/>
        <s v="Jessica Gonzalez"/>
        <s v="Amanda Martinez"/>
        <s v="Matthew Wilson"/>
        <s v="Laura Brown"/>
        <s v="James Johnson"/>
        <s v="Daniel Smith"/>
        <s v="Jennifer Davis"/>
        <s v="Michael Garcia"/>
        <s v="Amy Hernandez"/>
        <s v="Christopher Rodriguez"/>
        <s v="Jessica Martinez"/>
        <s v="Sarah Smith"/>
        <s v="Matthew Johnson"/>
        <s v="Emily Davis"/>
        <s v="Daniel Wilson"/>
        <s v="Jennifer Martinez"/>
        <s v="Jessica Johnson"/>
        <s v="Michael Smith"/>
        <s v="David Brown"/>
        <s v="Sarah Garcia"/>
        <s v="Emily Rodriguez"/>
        <s v="Matthew Hernandez"/>
        <s v="Daniel Davis"/>
        <s v="Jennifer Smith"/>
        <s v="Sarah Johnson"/>
        <s v="Matthew Garcia"/>
        <s v="Daniel Hernandez"/>
        <s v="Michael Martinez"/>
        <s v="Jessica Wilson"/>
        <s v="Sarah Gonzalez"/>
        <s v="David Rodriguez"/>
        <s v="Emily Johnson"/>
        <s v="Matthew Smith"/>
        <s v="Daniel Brown"/>
        <s v="Jennifer Hernandez"/>
        <s v="Jessica Smith"/>
        <s v="Michael Davis"/>
        <s v="David Martinez"/>
      </sharedItems>
    </cacheField>
    <cacheField name="Ship Date" numFmtId="14">
      <sharedItems containsSemiMixedTypes="0" containsNonDate="0" containsDate="1" containsString="0" minDate="2024-01-03T00:00:00" maxDate="2024-02-09T00:00:00" count="34">
        <d v="2024-01-03T00:00:00"/>
        <d v="2024-01-04T00:00:00"/>
        <d v="2024-01-07T00:00:00"/>
        <d v="2024-01-06T00:00:00"/>
        <d v="2024-01-08T00:00:00"/>
        <d v="2024-01-09T00:00:00"/>
        <d v="2024-01-12T00:00:00"/>
        <d v="2024-01-13T00:00:00"/>
        <d v="2024-01-14T00:00:00"/>
        <d v="2024-01-11T00:00:00"/>
        <d v="2024-01-15T00:00:00"/>
        <d v="2024-01-17T00:00:00"/>
        <d v="2024-01-18T00:00:00"/>
        <d v="2024-01-19T00:00:00"/>
        <d v="2024-01-23T00:00:00"/>
        <d v="2024-01-20T00:00:00"/>
        <d v="2024-01-22T00:00:00"/>
        <d v="2024-01-21T00:00:00"/>
        <d v="2024-01-24T00:00:00"/>
        <d v="2024-01-26T00:00:00"/>
        <d v="2024-01-25T00:00:00"/>
        <d v="2024-01-27T00:00:00"/>
        <d v="2024-01-30T00:00:00"/>
        <d v="2024-01-28T00:00:00"/>
        <d v="2024-01-29T00:00:00"/>
        <d v="2024-01-31T00:00:00"/>
        <d v="2024-02-01T00:00:00"/>
        <d v="2024-02-02T00:00:00"/>
        <d v="2024-02-04T00:00:00"/>
        <d v="2024-02-03T00:00:00"/>
        <d v="2024-02-05T00:00:00"/>
        <d v="2024-02-06T00:00:00"/>
        <d v="2024-02-07T00:00:00"/>
        <d v="2024-02-08T00:00:00"/>
      </sharedItems>
      <fieldGroup par="10" base="3">
        <rangePr groupBy="days" startDate="2024-01-03T00:00:00" endDate="2024-02-09T00:00:00"/>
        <groupItems count="368">
          <s v="&lt;1/3/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9/2024"/>
        </groupItems>
      </fieldGroup>
    </cacheField>
    <cacheField name="Retail Price (USD)" numFmtId="164">
      <sharedItems containsSemiMixedTypes="0" containsString="0" containsNumber="1" minValue="19.989999999999998" maxValue="199.99" count="11">
        <n v="49.99"/>
        <n v="29.99"/>
        <n v="19.989999999999998"/>
        <n v="99.99"/>
        <n v="79.989999999999995"/>
        <n v="149.99"/>
        <n v="39.99"/>
        <n v="69.989999999999995"/>
        <n v="89.99"/>
        <n v="199.99"/>
        <n v="129.99"/>
      </sharedItems>
    </cacheField>
    <cacheField name="Order Quantity" numFmtId="0">
      <sharedItems containsSemiMixedTypes="0" containsString="0" containsNumber="1" containsInteger="1" minValue="1" maxValue="5" count="5">
        <n v="2"/>
        <n v="1"/>
        <n v="4"/>
        <n v="3"/>
        <n v="5"/>
      </sharedItems>
    </cacheField>
    <cacheField name="Tax (USD)" numFmtId="164">
      <sharedItems containsSemiMixedTypes="0" containsString="0" containsNumber="1" minValue="1.9989999999999999" maxValue="19.999000000000002" count="11">
        <n v="4.9990000000000006"/>
        <n v="2.9990000000000001"/>
        <n v="1.9989999999999999"/>
        <n v="9.9990000000000006"/>
        <n v="7.9989999999999997"/>
        <n v="14.999000000000002"/>
        <n v="3.9990000000000006"/>
        <n v="6.9989999999999997"/>
        <n v="8.9990000000000006"/>
        <n v="19.999000000000002"/>
        <n v="12.999000000000002"/>
      </sharedItems>
    </cacheField>
    <cacheField name="Net Revenue" numFmtId="164">
      <sharedItems containsSemiMixedTypes="0" containsString="0" containsNumber="1" minValue="19.989999999999998" maxValue="199.99" count="11">
        <n v="49.99"/>
        <n v="29.99"/>
        <n v="19.989999999999998"/>
        <n v="99.99"/>
        <n v="79.989999999999995"/>
        <n v="149.99"/>
        <n v="39.99"/>
        <n v="69.989999999999995"/>
        <n v="89.99"/>
        <n v="199.99"/>
        <n v="129.99"/>
      </sharedItems>
    </cacheField>
    <cacheField name="Total (USD)" numFmtId="164">
      <sharedItems containsSemiMixedTypes="0" containsString="0" containsNumber="1" minValue="21.988999999999997" maxValue="219.989" count="11">
        <n v="54.989000000000004"/>
        <n v="32.988999999999997"/>
        <n v="21.988999999999997"/>
        <n v="109.98899999999999"/>
        <n v="87.98899999999999"/>
        <n v="164.989"/>
        <n v="43.989000000000004"/>
        <n v="76.98899999999999"/>
        <n v="98.98899999999999"/>
        <n v="219.989"/>
        <n v="142.989"/>
      </sharedItems>
    </cacheField>
    <cacheField name="Months" numFmtId="0" databaseField="0">
      <fieldGroup base="1">
        <rangePr groupBy="months" startDate="2024-01-01T00:00:00" endDate="2024-02-05T00:00:00"/>
        <groupItems count="14">
          <s v="&lt;1/1/2024"/>
          <s v="Jan"/>
          <s v="Feb"/>
          <s v="Mar"/>
          <s v="Apr"/>
          <s v="May"/>
          <s v="Jun"/>
          <s v="Jul"/>
          <s v="Aug"/>
          <s v="Sep"/>
          <s v="Oct"/>
          <s v="Nov"/>
          <s v="Dec"/>
          <s v="&gt;2/5/2024"/>
        </groupItems>
      </fieldGroup>
    </cacheField>
    <cacheField name="Months2" numFmtId="0" databaseField="0">
      <fieldGroup base="3">
        <rangePr groupBy="months" startDate="2024-01-03T00:00:00" endDate="2024-02-09T00:00:00"/>
        <groupItems count="14">
          <s v="&lt;1/3/2024"/>
          <s v="Jan"/>
          <s v="Feb"/>
          <s v="Mar"/>
          <s v="Apr"/>
          <s v="May"/>
          <s v="Jun"/>
          <s v="Jul"/>
          <s v="Aug"/>
          <s v="Sep"/>
          <s v="Oct"/>
          <s v="Nov"/>
          <s v="Dec"/>
          <s v="&gt;2/9/2024"/>
        </groupItems>
      </fieldGroup>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159.711343518517" createdVersion="6" refreshedVersion="6" minRefreshableVersion="3" recordCount="71">
  <cacheSource type="worksheet">
    <worksheetSource ref="A1:I72" sheet="Worksheet"/>
  </cacheSource>
  <cacheFields count="11">
    <cacheField name="Order No" numFmtId="0">
      <sharedItems containsBlank="1"/>
    </cacheField>
    <cacheField name="Order Date" numFmtId="14">
      <sharedItems containsNonDate="0" containsDate="1" containsString="0" containsBlank="1" minDate="2024-01-01T00:00:00" maxDate="2024-02-05T00:00:00" count="36">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m/>
      </sharedItems>
      <fieldGroup par="9" base="1">
        <rangePr groupBy="days" startDate="2024-01-01T00:00:00" endDate="2024-02-05T00:00:00"/>
        <groupItems count="368">
          <s v="(blank)"/>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5/2024"/>
        </groupItems>
      </fieldGroup>
    </cacheField>
    <cacheField name="Customer Name" numFmtId="0">
      <sharedItems containsBlank="1"/>
    </cacheField>
    <cacheField name="Ship Date" numFmtId="0">
      <sharedItems containsNonDate="0" containsDate="1" containsString="0" containsBlank="1" minDate="2024-01-03T00:00:00" maxDate="2024-02-09T00:00:00" count="35">
        <d v="2024-01-03T00:00:00"/>
        <d v="2024-01-04T00:00:00"/>
        <d v="2024-01-07T00:00:00"/>
        <d v="2024-01-06T00:00:00"/>
        <d v="2024-01-08T00:00:00"/>
        <d v="2024-01-09T00:00:00"/>
        <d v="2024-01-12T00:00:00"/>
        <d v="2024-01-13T00:00:00"/>
        <d v="2024-01-14T00:00:00"/>
        <d v="2024-01-11T00:00:00"/>
        <d v="2024-01-15T00:00:00"/>
        <d v="2024-01-17T00:00:00"/>
        <d v="2024-01-18T00:00:00"/>
        <d v="2024-01-19T00:00:00"/>
        <d v="2024-01-23T00:00:00"/>
        <d v="2024-01-20T00:00:00"/>
        <d v="2024-01-22T00:00:00"/>
        <d v="2024-01-21T00:00:00"/>
        <d v="2024-01-24T00:00:00"/>
        <d v="2024-01-26T00:00:00"/>
        <d v="2024-01-25T00:00:00"/>
        <d v="2024-01-27T00:00:00"/>
        <d v="2024-01-30T00:00:00"/>
        <d v="2024-01-28T00:00:00"/>
        <d v="2024-01-29T00:00:00"/>
        <d v="2024-01-31T00:00:00"/>
        <d v="2024-02-01T00:00:00"/>
        <d v="2024-02-02T00:00:00"/>
        <d v="2024-02-04T00:00:00"/>
        <d v="2024-02-03T00:00:00"/>
        <d v="2024-02-05T00:00:00"/>
        <d v="2024-02-06T00:00:00"/>
        <d v="2024-02-07T00:00:00"/>
        <d v="2024-02-08T00:00:00"/>
        <m/>
      </sharedItems>
      <fieldGroup par="10" base="3">
        <rangePr groupBy="days" startDate="2024-01-03T00:00:00" endDate="2024-02-09T00:00:00"/>
        <groupItems count="368">
          <s v="(blank)"/>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2/9/2024"/>
        </groupItems>
      </fieldGroup>
    </cacheField>
    <cacheField name="Retail Price (USD)" numFmtId="0">
      <sharedItems containsString="0" containsBlank="1" containsNumber="1" minValue="19.989999999999998" maxValue="199.99"/>
    </cacheField>
    <cacheField name="Order Quantity" numFmtId="0">
      <sharedItems containsString="0" containsBlank="1" containsNumber="1" containsInteger="1" minValue="1" maxValue="5" count="6">
        <n v="2"/>
        <n v="1"/>
        <n v="4"/>
        <n v="3"/>
        <n v="5"/>
        <m/>
      </sharedItems>
    </cacheField>
    <cacheField name="Tax (USD)" numFmtId="0">
      <sharedItems containsString="0" containsBlank="1" containsNumber="1" minValue="1.9989999999999999" maxValue="19.999000000000002"/>
    </cacheField>
    <cacheField name="Net Revenue" numFmtId="0">
      <sharedItems containsString="0" containsBlank="1" containsNumber="1" minValue="19.989999999999998" maxValue="199.99"/>
    </cacheField>
    <cacheField name="Total (USD)" numFmtId="0">
      <sharedItems containsString="0" containsBlank="1" containsNumber="1" minValue="21.988999999999997" maxValue="219.989"/>
    </cacheField>
    <cacheField name="Months" numFmtId="0" databaseField="0">
      <fieldGroup base="1">
        <rangePr groupBy="months" startDate="2024-01-01T00:00:00" endDate="2024-02-05T00:00:00"/>
        <groupItems count="14">
          <s v="&lt;1/1/2024"/>
          <s v="Jan"/>
          <s v="Feb"/>
          <s v="Mar"/>
          <s v="Apr"/>
          <s v="May"/>
          <s v="Jun"/>
          <s v="Jul"/>
          <s v="Aug"/>
          <s v="Sep"/>
          <s v="Oct"/>
          <s v="Nov"/>
          <s v="Dec"/>
          <s v="&gt;2/5/2024"/>
        </groupItems>
      </fieldGroup>
    </cacheField>
    <cacheField name="Months2" numFmtId="0" databaseField="0">
      <fieldGroup base="3">
        <rangePr groupBy="months" startDate="2024-01-03T00:00:00" endDate="2024-02-09T00:00:00"/>
        <groupItems count="14">
          <s v="&lt;1/3/2024"/>
          <s v="Jan"/>
          <s v="Feb"/>
          <s v="Mar"/>
          <s v="Apr"/>
          <s v="May"/>
          <s v="Jun"/>
          <s v="Jul"/>
          <s v="Aug"/>
          <s v="Sep"/>
          <s v="Oct"/>
          <s v="Nov"/>
          <s v="Dec"/>
          <s v="&gt;2/9/2024"/>
        </groupItems>
      </fieldGroup>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70">
  <r>
    <x v="0"/>
    <x v="0"/>
    <x v="0"/>
    <x v="0"/>
    <x v="0"/>
    <x v="0"/>
    <x v="0"/>
    <x v="0"/>
    <x v="0"/>
  </r>
  <r>
    <x v="1"/>
    <x v="0"/>
    <x v="1"/>
    <x v="1"/>
    <x v="1"/>
    <x v="1"/>
    <x v="1"/>
    <x v="1"/>
    <x v="1"/>
  </r>
  <r>
    <x v="2"/>
    <x v="1"/>
    <x v="2"/>
    <x v="0"/>
    <x v="2"/>
    <x v="2"/>
    <x v="2"/>
    <x v="2"/>
    <x v="2"/>
  </r>
  <r>
    <x v="3"/>
    <x v="1"/>
    <x v="3"/>
    <x v="2"/>
    <x v="3"/>
    <x v="3"/>
    <x v="3"/>
    <x v="3"/>
    <x v="3"/>
  </r>
  <r>
    <x v="4"/>
    <x v="2"/>
    <x v="4"/>
    <x v="3"/>
    <x v="4"/>
    <x v="0"/>
    <x v="4"/>
    <x v="4"/>
    <x v="4"/>
  </r>
  <r>
    <x v="5"/>
    <x v="2"/>
    <x v="5"/>
    <x v="4"/>
    <x v="5"/>
    <x v="1"/>
    <x v="5"/>
    <x v="5"/>
    <x v="5"/>
  </r>
  <r>
    <x v="6"/>
    <x v="3"/>
    <x v="6"/>
    <x v="3"/>
    <x v="6"/>
    <x v="3"/>
    <x v="6"/>
    <x v="6"/>
    <x v="6"/>
  </r>
  <r>
    <x v="7"/>
    <x v="3"/>
    <x v="7"/>
    <x v="5"/>
    <x v="7"/>
    <x v="0"/>
    <x v="7"/>
    <x v="7"/>
    <x v="7"/>
  </r>
  <r>
    <x v="8"/>
    <x v="4"/>
    <x v="8"/>
    <x v="3"/>
    <x v="8"/>
    <x v="1"/>
    <x v="8"/>
    <x v="8"/>
    <x v="8"/>
  </r>
  <r>
    <x v="9"/>
    <x v="4"/>
    <x v="9"/>
    <x v="4"/>
    <x v="9"/>
    <x v="1"/>
    <x v="9"/>
    <x v="9"/>
    <x v="9"/>
  </r>
  <r>
    <x v="10"/>
    <x v="5"/>
    <x v="10"/>
    <x v="2"/>
    <x v="1"/>
    <x v="4"/>
    <x v="1"/>
    <x v="1"/>
    <x v="1"/>
  </r>
  <r>
    <x v="11"/>
    <x v="5"/>
    <x v="11"/>
    <x v="4"/>
    <x v="4"/>
    <x v="0"/>
    <x v="4"/>
    <x v="4"/>
    <x v="4"/>
  </r>
  <r>
    <x v="12"/>
    <x v="6"/>
    <x v="12"/>
    <x v="5"/>
    <x v="0"/>
    <x v="3"/>
    <x v="0"/>
    <x v="0"/>
    <x v="0"/>
  </r>
  <r>
    <x v="13"/>
    <x v="6"/>
    <x v="13"/>
    <x v="6"/>
    <x v="10"/>
    <x v="1"/>
    <x v="10"/>
    <x v="10"/>
    <x v="10"/>
  </r>
  <r>
    <x v="14"/>
    <x v="7"/>
    <x v="14"/>
    <x v="6"/>
    <x v="5"/>
    <x v="1"/>
    <x v="5"/>
    <x v="5"/>
    <x v="5"/>
  </r>
  <r>
    <x v="15"/>
    <x v="7"/>
    <x v="15"/>
    <x v="7"/>
    <x v="2"/>
    <x v="2"/>
    <x v="2"/>
    <x v="2"/>
    <x v="2"/>
  </r>
  <r>
    <x v="16"/>
    <x v="8"/>
    <x v="16"/>
    <x v="6"/>
    <x v="6"/>
    <x v="3"/>
    <x v="6"/>
    <x v="6"/>
    <x v="6"/>
  </r>
  <r>
    <x v="17"/>
    <x v="8"/>
    <x v="17"/>
    <x v="8"/>
    <x v="7"/>
    <x v="0"/>
    <x v="7"/>
    <x v="7"/>
    <x v="7"/>
  </r>
  <r>
    <x v="18"/>
    <x v="9"/>
    <x v="18"/>
    <x v="9"/>
    <x v="9"/>
    <x v="1"/>
    <x v="9"/>
    <x v="9"/>
    <x v="9"/>
  </r>
  <r>
    <x v="19"/>
    <x v="9"/>
    <x v="19"/>
    <x v="8"/>
    <x v="1"/>
    <x v="4"/>
    <x v="1"/>
    <x v="1"/>
    <x v="1"/>
  </r>
  <r>
    <x v="20"/>
    <x v="10"/>
    <x v="20"/>
    <x v="8"/>
    <x v="4"/>
    <x v="0"/>
    <x v="4"/>
    <x v="4"/>
    <x v="4"/>
  </r>
  <r>
    <x v="21"/>
    <x v="10"/>
    <x v="21"/>
    <x v="10"/>
    <x v="0"/>
    <x v="3"/>
    <x v="0"/>
    <x v="0"/>
    <x v="0"/>
  </r>
  <r>
    <x v="22"/>
    <x v="11"/>
    <x v="22"/>
    <x v="11"/>
    <x v="10"/>
    <x v="1"/>
    <x v="10"/>
    <x v="10"/>
    <x v="10"/>
  </r>
  <r>
    <x v="23"/>
    <x v="11"/>
    <x v="23"/>
    <x v="11"/>
    <x v="2"/>
    <x v="2"/>
    <x v="2"/>
    <x v="2"/>
    <x v="2"/>
  </r>
  <r>
    <x v="24"/>
    <x v="12"/>
    <x v="24"/>
    <x v="8"/>
    <x v="7"/>
    <x v="0"/>
    <x v="7"/>
    <x v="7"/>
    <x v="7"/>
  </r>
  <r>
    <x v="25"/>
    <x v="12"/>
    <x v="5"/>
    <x v="11"/>
    <x v="5"/>
    <x v="1"/>
    <x v="5"/>
    <x v="5"/>
    <x v="5"/>
  </r>
  <r>
    <x v="26"/>
    <x v="13"/>
    <x v="25"/>
    <x v="12"/>
    <x v="6"/>
    <x v="3"/>
    <x v="6"/>
    <x v="6"/>
    <x v="6"/>
  </r>
  <r>
    <x v="27"/>
    <x v="13"/>
    <x v="26"/>
    <x v="13"/>
    <x v="9"/>
    <x v="1"/>
    <x v="9"/>
    <x v="9"/>
    <x v="9"/>
  </r>
  <r>
    <x v="28"/>
    <x v="14"/>
    <x v="27"/>
    <x v="13"/>
    <x v="1"/>
    <x v="4"/>
    <x v="1"/>
    <x v="1"/>
    <x v="1"/>
  </r>
  <r>
    <x v="29"/>
    <x v="14"/>
    <x v="28"/>
    <x v="13"/>
    <x v="4"/>
    <x v="0"/>
    <x v="4"/>
    <x v="4"/>
    <x v="4"/>
  </r>
  <r>
    <x v="30"/>
    <x v="15"/>
    <x v="29"/>
    <x v="11"/>
    <x v="10"/>
    <x v="1"/>
    <x v="10"/>
    <x v="10"/>
    <x v="10"/>
  </r>
  <r>
    <x v="31"/>
    <x v="15"/>
    <x v="30"/>
    <x v="13"/>
    <x v="0"/>
    <x v="3"/>
    <x v="0"/>
    <x v="0"/>
    <x v="0"/>
  </r>
  <r>
    <x v="32"/>
    <x v="16"/>
    <x v="31"/>
    <x v="13"/>
    <x v="2"/>
    <x v="2"/>
    <x v="2"/>
    <x v="2"/>
    <x v="2"/>
  </r>
  <r>
    <x v="33"/>
    <x v="16"/>
    <x v="32"/>
    <x v="13"/>
    <x v="5"/>
    <x v="1"/>
    <x v="5"/>
    <x v="5"/>
    <x v="5"/>
  </r>
  <r>
    <x v="34"/>
    <x v="17"/>
    <x v="33"/>
    <x v="13"/>
    <x v="6"/>
    <x v="3"/>
    <x v="6"/>
    <x v="6"/>
    <x v="6"/>
  </r>
  <r>
    <x v="35"/>
    <x v="17"/>
    <x v="34"/>
    <x v="14"/>
    <x v="7"/>
    <x v="0"/>
    <x v="7"/>
    <x v="7"/>
    <x v="7"/>
  </r>
  <r>
    <x v="36"/>
    <x v="18"/>
    <x v="35"/>
    <x v="15"/>
    <x v="9"/>
    <x v="1"/>
    <x v="9"/>
    <x v="9"/>
    <x v="9"/>
  </r>
  <r>
    <x v="37"/>
    <x v="18"/>
    <x v="36"/>
    <x v="16"/>
    <x v="1"/>
    <x v="4"/>
    <x v="1"/>
    <x v="1"/>
    <x v="1"/>
  </r>
  <r>
    <x v="38"/>
    <x v="19"/>
    <x v="23"/>
    <x v="17"/>
    <x v="0"/>
    <x v="3"/>
    <x v="0"/>
    <x v="0"/>
    <x v="0"/>
  </r>
  <r>
    <x v="39"/>
    <x v="19"/>
    <x v="3"/>
    <x v="18"/>
    <x v="4"/>
    <x v="0"/>
    <x v="4"/>
    <x v="4"/>
    <x v="4"/>
  </r>
  <r>
    <x v="40"/>
    <x v="20"/>
    <x v="37"/>
    <x v="14"/>
    <x v="2"/>
    <x v="2"/>
    <x v="2"/>
    <x v="2"/>
    <x v="2"/>
  </r>
  <r>
    <x v="41"/>
    <x v="20"/>
    <x v="5"/>
    <x v="19"/>
    <x v="10"/>
    <x v="1"/>
    <x v="10"/>
    <x v="10"/>
    <x v="10"/>
  </r>
  <r>
    <x v="42"/>
    <x v="21"/>
    <x v="2"/>
    <x v="20"/>
    <x v="7"/>
    <x v="0"/>
    <x v="7"/>
    <x v="7"/>
    <x v="7"/>
  </r>
  <r>
    <x v="43"/>
    <x v="21"/>
    <x v="38"/>
    <x v="20"/>
    <x v="5"/>
    <x v="1"/>
    <x v="5"/>
    <x v="5"/>
    <x v="5"/>
  </r>
  <r>
    <x v="44"/>
    <x v="22"/>
    <x v="19"/>
    <x v="19"/>
    <x v="9"/>
    <x v="1"/>
    <x v="9"/>
    <x v="9"/>
    <x v="9"/>
  </r>
  <r>
    <x v="45"/>
    <x v="22"/>
    <x v="39"/>
    <x v="21"/>
    <x v="6"/>
    <x v="3"/>
    <x v="6"/>
    <x v="6"/>
    <x v="6"/>
  </r>
  <r>
    <x v="46"/>
    <x v="23"/>
    <x v="40"/>
    <x v="20"/>
    <x v="1"/>
    <x v="4"/>
    <x v="1"/>
    <x v="1"/>
    <x v="1"/>
  </r>
  <r>
    <x v="47"/>
    <x v="23"/>
    <x v="41"/>
    <x v="19"/>
    <x v="4"/>
    <x v="0"/>
    <x v="4"/>
    <x v="4"/>
    <x v="4"/>
  </r>
  <r>
    <x v="48"/>
    <x v="24"/>
    <x v="42"/>
    <x v="21"/>
    <x v="10"/>
    <x v="1"/>
    <x v="10"/>
    <x v="10"/>
    <x v="10"/>
  </r>
  <r>
    <x v="49"/>
    <x v="24"/>
    <x v="43"/>
    <x v="22"/>
    <x v="0"/>
    <x v="3"/>
    <x v="0"/>
    <x v="0"/>
    <x v="0"/>
  </r>
  <r>
    <x v="50"/>
    <x v="25"/>
    <x v="44"/>
    <x v="23"/>
    <x v="5"/>
    <x v="1"/>
    <x v="5"/>
    <x v="5"/>
    <x v="5"/>
  </r>
  <r>
    <x v="51"/>
    <x v="25"/>
    <x v="45"/>
    <x v="24"/>
    <x v="2"/>
    <x v="2"/>
    <x v="2"/>
    <x v="2"/>
    <x v="2"/>
  </r>
  <r>
    <x v="52"/>
    <x v="26"/>
    <x v="46"/>
    <x v="25"/>
    <x v="7"/>
    <x v="0"/>
    <x v="7"/>
    <x v="7"/>
    <x v="7"/>
  </r>
  <r>
    <x v="53"/>
    <x v="26"/>
    <x v="47"/>
    <x v="25"/>
    <x v="6"/>
    <x v="3"/>
    <x v="6"/>
    <x v="6"/>
    <x v="6"/>
  </r>
  <r>
    <x v="54"/>
    <x v="27"/>
    <x v="48"/>
    <x v="24"/>
    <x v="1"/>
    <x v="4"/>
    <x v="1"/>
    <x v="1"/>
    <x v="1"/>
  </r>
  <r>
    <x v="55"/>
    <x v="27"/>
    <x v="49"/>
    <x v="24"/>
    <x v="9"/>
    <x v="1"/>
    <x v="9"/>
    <x v="9"/>
    <x v="9"/>
  </r>
  <r>
    <x v="56"/>
    <x v="28"/>
    <x v="50"/>
    <x v="22"/>
    <x v="4"/>
    <x v="0"/>
    <x v="4"/>
    <x v="4"/>
    <x v="4"/>
  </r>
  <r>
    <x v="57"/>
    <x v="28"/>
    <x v="37"/>
    <x v="25"/>
    <x v="0"/>
    <x v="3"/>
    <x v="0"/>
    <x v="0"/>
    <x v="0"/>
  </r>
  <r>
    <x v="58"/>
    <x v="29"/>
    <x v="38"/>
    <x v="25"/>
    <x v="10"/>
    <x v="1"/>
    <x v="10"/>
    <x v="10"/>
    <x v="10"/>
  </r>
  <r>
    <x v="59"/>
    <x v="29"/>
    <x v="2"/>
    <x v="26"/>
    <x v="2"/>
    <x v="2"/>
    <x v="2"/>
    <x v="2"/>
    <x v="2"/>
  </r>
  <r>
    <x v="60"/>
    <x v="30"/>
    <x v="39"/>
    <x v="27"/>
    <x v="5"/>
    <x v="1"/>
    <x v="5"/>
    <x v="5"/>
    <x v="5"/>
  </r>
  <r>
    <x v="61"/>
    <x v="30"/>
    <x v="19"/>
    <x v="28"/>
    <x v="7"/>
    <x v="0"/>
    <x v="7"/>
    <x v="7"/>
    <x v="7"/>
  </r>
  <r>
    <x v="62"/>
    <x v="31"/>
    <x v="40"/>
    <x v="27"/>
    <x v="6"/>
    <x v="3"/>
    <x v="6"/>
    <x v="6"/>
    <x v="6"/>
  </r>
  <r>
    <x v="63"/>
    <x v="31"/>
    <x v="43"/>
    <x v="29"/>
    <x v="1"/>
    <x v="4"/>
    <x v="1"/>
    <x v="1"/>
    <x v="1"/>
  </r>
  <r>
    <x v="64"/>
    <x v="31"/>
    <x v="41"/>
    <x v="30"/>
    <x v="9"/>
    <x v="1"/>
    <x v="9"/>
    <x v="9"/>
    <x v="9"/>
  </r>
  <r>
    <x v="65"/>
    <x v="32"/>
    <x v="42"/>
    <x v="31"/>
    <x v="4"/>
    <x v="0"/>
    <x v="4"/>
    <x v="4"/>
    <x v="4"/>
  </r>
  <r>
    <x v="66"/>
    <x v="33"/>
    <x v="45"/>
    <x v="31"/>
    <x v="0"/>
    <x v="3"/>
    <x v="0"/>
    <x v="0"/>
    <x v="0"/>
  </r>
  <r>
    <x v="67"/>
    <x v="34"/>
    <x v="44"/>
    <x v="30"/>
    <x v="10"/>
    <x v="1"/>
    <x v="10"/>
    <x v="10"/>
    <x v="10"/>
  </r>
  <r>
    <x v="68"/>
    <x v="34"/>
    <x v="47"/>
    <x v="32"/>
    <x v="5"/>
    <x v="1"/>
    <x v="5"/>
    <x v="5"/>
    <x v="5"/>
  </r>
  <r>
    <x v="69"/>
    <x v="34"/>
    <x v="46"/>
    <x v="33"/>
    <x v="2"/>
    <x v="2"/>
    <x v="2"/>
    <x v="2"/>
    <x v="2"/>
  </r>
</pivotCacheRecords>
</file>

<file path=xl/pivotCache/pivotCacheRecords2.xml><?xml version="1.0" encoding="utf-8"?>
<pivotCacheRecords xmlns="http://schemas.openxmlformats.org/spreadsheetml/2006/main" xmlns:r="http://schemas.openxmlformats.org/officeDocument/2006/relationships" count="71">
  <r>
    <s v="1001"/>
    <x v="0"/>
    <s v="John Smith"/>
    <x v="0"/>
    <n v="49.99"/>
    <x v="0"/>
    <n v="4.9990000000000006"/>
    <n v="49.99"/>
    <n v="54.989000000000004"/>
  </r>
  <r>
    <s v="1002"/>
    <x v="0"/>
    <s v="Jane Doe"/>
    <x v="1"/>
    <n v="29.99"/>
    <x v="1"/>
    <n v="2.9990000000000001"/>
    <n v="29.99"/>
    <n v="32.988999999999997"/>
  </r>
  <r>
    <s v="1004"/>
    <x v="1"/>
    <s v="Emily Brown"/>
    <x v="0"/>
    <n v="19.989999999999998"/>
    <x v="2"/>
    <n v="1.9989999999999999"/>
    <n v="19.989999999999998"/>
    <n v="21.988999999999997"/>
  </r>
  <r>
    <s v="1003"/>
    <x v="1"/>
    <s v="Michael Johnson"/>
    <x v="2"/>
    <n v="99.99"/>
    <x v="3"/>
    <n v="9.9990000000000006"/>
    <n v="99.99"/>
    <n v="109.98899999999999"/>
  </r>
  <r>
    <s v="1006"/>
    <x v="2"/>
    <s v="Lisa Taylor"/>
    <x v="3"/>
    <n v="79.989999999999995"/>
    <x v="0"/>
    <n v="7.9989999999999997"/>
    <n v="79.989999999999995"/>
    <n v="87.98899999999999"/>
  </r>
  <r>
    <s v="1005"/>
    <x v="2"/>
    <s v="David Wilson"/>
    <x v="4"/>
    <n v="149.99"/>
    <x v="1"/>
    <n v="14.999000000000002"/>
    <n v="149.99"/>
    <n v="164.989"/>
  </r>
  <r>
    <s v="1007"/>
    <x v="3"/>
    <s v="Daniel Martinez"/>
    <x v="3"/>
    <n v="39.99"/>
    <x v="3"/>
    <n v="3.9990000000000006"/>
    <n v="39.99"/>
    <n v="43.989000000000004"/>
  </r>
  <r>
    <s v="1008"/>
    <x v="3"/>
    <s v="Sarah Anderson"/>
    <x v="5"/>
    <n v="69.989999999999995"/>
    <x v="0"/>
    <n v="6.9989999999999997"/>
    <n v="69.989999999999995"/>
    <n v="76.98899999999999"/>
  </r>
  <r>
    <s v="1009"/>
    <x v="4"/>
    <s v="Christopher Thomas"/>
    <x v="3"/>
    <n v="89.99"/>
    <x v="1"/>
    <n v="8.9990000000000006"/>
    <n v="89.99"/>
    <n v="98.98899999999999"/>
  </r>
  <r>
    <s v="1010"/>
    <x v="4"/>
    <s v="Kimberly Garcia"/>
    <x v="4"/>
    <n v="199.99"/>
    <x v="1"/>
    <n v="19.999000000000002"/>
    <n v="199.99"/>
    <n v="219.989"/>
  </r>
  <r>
    <s v="1011"/>
    <x v="5"/>
    <s v="William Hernandez"/>
    <x v="2"/>
    <n v="29.99"/>
    <x v="4"/>
    <n v="2.9990000000000001"/>
    <n v="29.99"/>
    <n v="32.988999999999997"/>
  </r>
  <r>
    <s v="1012"/>
    <x v="5"/>
    <s v="Melissa Lopez"/>
    <x v="4"/>
    <n v="79.989999999999995"/>
    <x v="0"/>
    <n v="7.9989999999999997"/>
    <n v="79.989999999999995"/>
    <n v="87.98899999999999"/>
  </r>
  <r>
    <s v="1013"/>
    <x v="6"/>
    <s v="Richard Perez"/>
    <x v="5"/>
    <n v="49.99"/>
    <x v="3"/>
    <n v="4.9990000000000006"/>
    <n v="49.99"/>
    <n v="54.989000000000004"/>
  </r>
  <r>
    <s v="1014"/>
    <x v="6"/>
    <s v="Jessica Gonzalez"/>
    <x v="6"/>
    <n v="129.99"/>
    <x v="1"/>
    <n v="12.999000000000002"/>
    <n v="129.99"/>
    <n v="142.989"/>
  </r>
  <r>
    <s v="1016"/>
    <x v="7"/>
    <s v="Amanda Martinez"/>
    <x v="6"/>
    <n v="149.99"/>
    <x v="1"/>
    <n v="14.999000000000002"/>
    <n v="149.99"/>
    <n v="164.989"/>
  </r>
  <r>
    <s v="1015"/>
    <x v="7"/>
    <s v="Matthew Wilson"/>
    <x v="7"/>
    <n v="19.989999999999998"/>
    <x v="2"/>
    <n v="1.9989999999999999"/>
    <n v="19.989999999999998"/>
    <n v="21.988999999999997"/>
  </r>
  <r>
    <s v="1018"/>
    <x v="8"/>
    <s v="Laura Brown"/>
    <x v="6"/>
    <n v="39.99"/>
    <x v="3"/>
    <n v="3.9990000000000006"/>
    <n v="39.99"/>
    <n v="43.989000000000004"/>
  </r>
  <r>
    <s v="1017"/>
    <x v="8"/>
    <s v="James Johnson"/>
    <x v="8"/>
    <n v="69.989999999999995"/>
    <x v="0"/>
    <n v="6.9989999999999997"/>
    <n v="69.989999999999995"/>
    <n v="76.98899999999999"/>
  </r>
  <r>
    <s v="1019"/>
    <x v="9"/>
    <s v="Daniel Smith"/>
    <x v="9"/>
    <n v="199.99"/>
    <x v="1"/>
    <n v="19.999000000000002"/>
    <n v="199.99"/>
    <n v="219.989"/>
  </r>
  <r>
    <s v="1020"/>
    <x v="9"/>
    <s v="Jennifer Davis"/>
    <x v="8"/>
    <n v="29.99"/>
    <x v="4"/>
    <n v="2.9990000000000001"/>
    <n v="29.99"/>
    <n v="32.988999999999997"/>
  </r>
  <r>
    <s v="1021"/>
    <x v="10"/>
    <s v="Michael Garcia"/>
    <x v="8"/>
    <n v="79.989999999999995"/>
    <x v="0"/>
    <n v="7.9989999999999997"/>
    <n v="79.989999999999995"/>
    <n v="87.98899999999999"/>
  </r>
  <r>
    <s v="1022"/>
    <x v="10"/>
    <s v="Amy Hernandez"/>
    <x v="10"/>
    <n v="49.99"/>
    <x v="3"/>
    <n v="4.9990000000000006"/>
    <n v="49.99"/>
    <n v="54.989000000000004"/>
  </r>
  <r>
    <s v="1023"/>
    <x v="11"/>
    <s v="Christopher Rodriguez"/>
    <x v="11"/>
    <n v="129.99"/>
    <x v="1"/>
    <n v="12.999000000000002"/>
    <n v="129.99"/>
    <n v="142.989"/>
  </r>
  <r>
    <s v="1024"/>
    <x v="11"/>
    <s v="Jessica Martinez"/>
    <x v="11"/>
    <n v="19.989999999999998"/>
    <x v="2"/>
    <n v="1.9989999999999999"/>
    <n v="19.989999999999998"/>
    <n v="21.988999999999997"/>
  </r>
  <r>
    <s v="1026"/>
    <x v="12"/>
    <s v="Sarah Smith"/>
    <x v="8"/>
    <n v="69.989999999999995"/>
    <x v="0"/>
    <n v="6.9989999999999997"/>
    <n v="69.989999999999995"/>
    <n v="76.98899999999999"/>
  </r>
  <r>
    <s v="1025"/>
    <x v="12"/>
    <s v="David Wilson"/>
    <x v="11"/>
    <n v="149.99"/>
    <x v="1"/>
    <n v="14.999000000000002"/>
    <n v="149.99"/>
    <n v="164.989"/>
  </r>
  <r>
    <s v="1027"/>
    <x v="13"/>
    <s v="Matthew Johnson"/>
    <x v="12"/>
    <n v="39.99"/>
    <x v="3"/>
    <n v="3.9990000000000006"/>
    <n v="39.99"/>
    <n v="43.989000000000004"/>
  </r>
  <r>
    <s v="1028"/>
    <x v="13"/>
    <s v="Emily Davis"/>
    <x v="13"/>
    <n v="199.99"/>
    <x v="1"/>
    <n v="19.999000000000002"/>
    <n v="199.99"/>
    <n v="219.989"/>
  </r>
  <r>
    <s v="1029"/>
    <x v="14"/>
    <s v="Daniel Wilson"/>
    <x v="13"/>
    <n v="29.99"/>
    <x v="4"/>
    <n v="2.9990000000000001"/>
    <n v="29.99"/>
    <n v="32.988999999999997"/>
  </r>
  <r>
    <s v="1030"/>
    <x v="14"/>
    <s v="Jennifer Martinez"/>
    <x v="13"/>
    <n v="79.989999999999995"/>
    <x v="0"/>
    <n v="7.9989999999999997"/>
    <n v="79.989999999999995"/>
    <n v="87.98899999999999"/>
  </r>
  <r>
    <s v="1032"/>
    <x v="15"/>
    <s v="Jessica Johnson"/>
    <x v="11"/>
    <n v="129.99"/>
    <x v="1"/>
    <n v="12.999000000000002"/>
    <n v="129.99"/>
    <n v="142.989"/>
  </r>
  <r>
    <s v="1031"/>
    <x v="15"/>
    <s v="Michael Smith"/>
    <x v="13"/>
    <n v="49.99"/>
    <x v="3"/>
    <n v="4.9990000000000006"/>
    <n v="49.99"/>
    <n v="54.989000000000004"/>
  </r>
  <r>
    <s v="1033"/>
    <x v="16"/>
    <s v="David Brown"/>
    <x v="13"/>
    <n v="19.989999999999998"/>
    <x v="2"/>
    <n v="1.9989999999999999"/>
    <n v="19.989999999999998"/>
    <n v="21.988999999999997"/>
  </r>
  <r>
    <s v="1034"/>
    <x v="16"/>
    <s v="Sarah Garcia"/>
    <x v="13"/>
    <n v="149.99"/>
    <x v="1"/>
    <n v="14.999000000000002"/>
    <n v="149.99"/>
    <n v="164.989"/>
  </r>
  <r>
    <s v="1036"/>
    <x v="17"/>
    <s v="Emily Rodriguez"/>
    <x v="13"/>
    <n v="39.99"/>
    <x v="3"/>
    <n v="3.9990000000000006"/>
    <n v="39.99"/>
    <n v="43.989000000000004"/>
  </r>
  <r>
    <s v="1035"/>
    <x v="17"/>
    <s v="Matthew Hernandez"/>
    <x v="14"/>
    <n v="69.989999999999995"/>
    <x v="0"/>
    <n v="6.9989999999999997"/>
    <n v="69.989999999999995"/>
    <n v="76.98899999999999"/>
  </r>
  <r>
    <s v="1037"/>
    <x v="18"/>
    <s v="Daniel Davis"/>
    <x v="15"/>
    <n v="199.99"/>
    <x v="1"/>
    <n v="19.999000000000002"/>
    <n v="199.99"/>
    <n v="219.989"/>
  </r>
  <r>
    <s v="1038"/>
    <x v="18"/>
    <s v="Jennifer Smith"/>
    <x v="16"/>
    <n v="29.99"/>
    <x v="4"/>
    <n v="2.9990000000000001"/>
    <n v="29.99"/>
    <n v="32.988999999999997"/>
  </r>
  <r>
    <s v="1040"/>
    <x v="19"/>
    <s v="Jessica Martinez"/>
    <x v="17"/>
    <n v="49.99"/>
    <x v="3"/>
    <n v="4.9990000000000006"/>
    <n v="49.99"/>
    <n v="54.989000000000004"/>
  </r>
  <r>
    <s v="1039"/>
    <x v="19"/>
    <s v="Michael Johnson"/>
    <x v="18"/>
    <n v="79.989999999999995"/>
    <x v="0"/>
    <n v="7.9989999999999997"/>
    <n v="79.989999999999995"/>
    <n v="87.98899999999999"/>
  </r>
  <r>
    <s v="1042"/>
    <x v="20"/>
    <s v="Sarah Johnson"/>
    <x v="14"/>
    <n v="19.989999999999998"/>
    <x v="2"/>
    <n v="1.9989999999999999"/>
    <n v="19.989999999999998"/>
    <n v="21.988999999999997"/>
  </r>
  <r>
    <s v="1041"/>
    <x v="20"/>
    <s v="David Wilson"/>
    <x v="19"/>
    <n v="129.99"/>
    <x v="1"/>
    <n v="12.999000000000002"/>
    <n v="129.99"/>
    <n v="142.989"/>
  </r>
  <r>
    <s v="1044"/>
    <x v="21"/>
    <s v="Emily Brown"/>
    <x v="20"/>
    <n v="69.989999999999995"/>
    <x v="0"/>
    <n v="6.9989999999999997"/>
    <n v="69.989999999999995"/>
    <n v="76.98899999999999"/>
  </r>
  <r>
    <s v="1043"/>
    <x v="21"/>
    <s v="Matthew Garcia"/>
    <x v="20"/>
    <n v="149.99"/>
    <x v="1"/>
    <n v="14.999000000000002"/>
    <n v="149.99"/>
    <n v="164.989"/>
  </r>
  <r>
    <s v="1046"/>
    <x v="22"/>
    <s v="Jennifer Davis"/>
    <x v="19"/>
    <n v="199.99"/>
    <x v="1"/>
    <n v="19.999000000000002"/>
    <n v="199.99"/>
    <n v="219.989"/>
  </r>
  <r>
    <s v="1045"/>
    <x v="22"/>
    <s v="Daniel Hernandez"/>
    <x v="21"/>
    <n v="39.99"/>
    <x v="3"/>
    <n v="3.9990000000000006"/>
    <n v="39.99"/>
    <n v="43.989000000000004"/>
  </r>
  <r>
    <s v="1047"/>
    <x v="23"/>
    <s v="Michael Martinez"/>
    <x v="20"/>
    <n v="29.99"/>
    <x v="4"/>
    <n v="2.9990000000000001"/>
    <n v="29.99"/>
    <n v="32.988999999999997"/>
  </r>
  <r>
    <s v="1048"/>
    <x v="23"/>
    <s v="Jessica Wilson"/>
    <x v="19"/>
    <n v="79.989999999999995"/>
    <x v="0"/>
    <n v="7.9989999999999997"/>
    <n v="79.989999999999995"/>
    <n v="87.98899999999999"/>
  </r>
  <r>
    <s v="1050"/>
    <x v="24"/>
    <s v="Sarah Gonzalez"/>
    <x v="21"/>
    <n v="129.99"/>
    <x v="1"/>
    <n v="12.999000000000002"/>
    <n v="129.99"/>
    <n v="142.989"/>
  </r>
  <r>
    <s v="1049"/>
    <x v="24"/>
    <s v="David Rodriguez"/>
    <x v="22"/>
    <n v="49.99"/>
    <x v="3"/>
    <n v="4.9990000000000006"/>
    <n v="49.99"/>
    <n v="54.989000000000004"/>
  </r>
  <r>
    <s v="1052"/>
    <x v="25"/>
    <s v="Emily Johnson"/>
    <x v="23"/>
    <n v="149.99"/>
    <x v="1"/>
    <n v="14.999000000000002"/>
    <n v="149.99"/>
    <n v="164.989"/>
  </r>
  <r>
    <s v="1051"/>
    <x v="25"/>
    <s v="Matthew Smith"/>
    <x v="24"/>
    <n v="19.989999999999998"/>
    <x v="2"/>
    <n v="1.9989999999999999"/>
    <n v="19.989999999999998"/>
    <n v="21.988999999999997"/>
  </r>
  <r>
    <s v="1053"/>
    <x v="26"/>
    <s v="Daniel Brown"/>
    <x v="25"/>
    <n v="69.989999999999995"/>
    <x v="0"/>
    <n v="6.9989999999999997"/>
    <n v="69.989999999999995"/>
    <n v="76.98899999999999"/>
  </r>
  <r>
    <s v="1054"/>
    <x v="26"/>
    <s v="Jennifer Hernandez"/>
    <x v="25"/>
    <n v="39.99"/>
    <x v="3"/>
    <n v="3.9990000000000006"/>
    <n v="39.99"/>
    <n v="43.989000000000004"/>
  </r>
  <r>
    <s v="1056"/>
    <x v="27"/>
    <s v="Jessica Smith"/>
    <x v="24"/>
    <n v="29.99"/>
    <x v="4"/>
    <n v="2.9990000000000001"/>
    <n v="29.99"/>
    <n v="32.988999999999997"/>
  </r>
  <r>
    <s v="1055"/>
    <x v="27"/>
    <s v="Michael Davis"/>
    <x v="24"/>
    <n v="199.99"/>
    <x v="1"/>
    <n v="19.999000000000002"/>
    <n v="199.99"/>
    <n v="219.989"/>
  </r>
  <r>
    <s v="1057"/>
    <x v="28"/>
    <s v="David Martinez"/>
    <x v="22"/>
    <n v="79.989999999999995"/>
    <x v="0"/>
    <n v="7.9989999999999997"/>
    <n v="79.989999999999995"/>
    <n v="87.98899999999999"/>
  </r>
  <r>
    <s v="1058"/>
    <x v="28"/>
    <s v="Sarah Johnson"/>
    <x v="25"/>
    <n v="49.99"/>
    <x v="3"/>
    <n v="4.9990000000000006"/>
    <n v="49.99"/>
    <n v="54.989000000000004"/>
  </r>
  <r>
    <s v="1059"/>
    <x v="29"/>
    <s v="Matthew Garcia"/>
    <x v="25"/>
    <n v="129.99"/>
    <x v="1"/>
    <n v="12.999000000000002"/>
    <n v="129.99"/>
    <n v="142.989"/>
  </r>
  <r>
    <s v="1060"/>
    <x v="29"/>
    <s v="Emily Brown"/>
    <x v="26"/>
    <n v="19.989999999999998"/>
    <x v="2"/>
    <n v="1.9989999999999999"/>
    <n v="19.989999999999998"/>
    <n v="21.988999999999997"/>
  </r>
  <r>
    <s v="1061"/>
    <x v="30"/>
    <s v="Daniel Hernandez"/>
    <x v="27"/>
    <n v="149.99"/>
    <x v="1"/>
    <n v="14.999000000000002"/>
    <n v="149.99"/>
    <n v="164.989"/>
  </r>
  <r>
    <s v="1062"/>
    <x v="30"/>
    <s v="Jennifer Davis"/>
    <x v="28"/>
    <n v="69.989999999999995"/>
    <x v="0"/>
    <n v="6.9989999999999997"/>
    <n v="69.989999999999995"/>
    <n v="76.98899999999999"/>
  </r>
  <r>
    <s v="1063"/>
    <x v="31"/>
    <s v="Michael Martinez"/>
    <x v="27"/>
    <n v="39.99"/>
    <x v="3"/>
    <n v="3.9990000000000006"/>
    <n v="39.99"/>
    <n v="43.989000000000004"/>
  </r>
  <r>
    <s v="1065"/>
    <x v="31"/>
    <s v="David Rodriguez"/>
    <x v="29"/>
    <n v="29.99"/>
    <x v="4"/>
    <n v="2.9990000000000001"/>
    <n v="29.99"/>
    <n v="32.988999999999997"/>
  </r>
  <r>
    <s v="1064"/>
    <x v="31"/>
    <s v="Jessica Wilson"/>
    <x v="30"/>
    <n v="199.99"/>
    <x v="1"/>
    <n v="19.999000000000002"/>
    <n v="199.99"/>
    <n v="219.989"/>
  </r>
  <r>
    <s v="1066"/>
    <x v="32"/>
    <s v="Sarah Gonzalez"/>
    <x v="31"/>
    <n v="79.989999999999995"/>
    <x v="0"/>
    <n v="7.9989999999999997"/>
    <n v="79.989999999999995"/>
    <n v="87.98899999999999"/>
  </r>
  <r>
    <s v="1067"/>
    <x v="33"/>
    <s v="Matthew Smith"/>
    <x v="31"/>
    <n v="49.99"/>
    <x v="3"/>
    <n v="4.9990000000000006"/>
    <n v="49.99"/>
    <n v="54.989000000000004"/>
  </r>
  <r>
    <s v="1068"/>
    <x v="34"/>
    <s v="Emily Johnson"/>
    <x v="30"/>
    <n v="129.99"/>
    <x v="1"/>
    <n v="12.999000000000002"/>
    <n v="129.99"/>
    <n v="142.989"/>
  </r>
  <r>
    <s v="1070"/>
    <x v="34"/>
    <s v="Jennifer Hernandez"/>
    <x v="32"/>
    <n v="149.99"/>
    <x v="1"/>
    <n v="14.999000000000002"/>
    <n v="149.99"/>
    <n v="164.989"/>
  </r>
  <r>
    <s v="1069"/>
    <x v="34"/>
    <s v="Daniel Brown"/>
    <x v="33"/>
    <n v="19.989999999999998"/>
    <x v="2"/>
    <n v="1.9989999999999999"/>
    <n v="19.989999999999998"/>
    <n v="21.988999999999997"/>
  </r>
  <r>
    <m/>
    <x v="35"/>
    <m/>
    <x v="34"/>
    <m/>
    <x v="5"/>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35:B138" firstHeaderRow="1" firstDataRow="1" firstDataCol="1"/>
  <pivotFields count="11">
    <pivotField showAll="0"/>
    <pivotField numFmtId="14"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dataField="1" showAll="0"/>
    <pivotField numFmtId="164" showAll="0"/>
    <pivotField numFmtId="164" showAll="0"/>
    <pivotField numFmtId="164" showAll="0"/>
    <pivotField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0"/>
    <field x="3"/>
  </rowFields>
  <rowItems count="3">
    <i>
      <x v="1"/>
    </i>
    <i>
      <x v="2"/>
    </i>
    <i t="grand">
      <x/>
    </i>
  </rowItems>
  <colItems count="1">
    <i/>
  </colItems>
  <dataFields count="1">
    <dataField name="Sum of Order Quantity"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98:B99" firstHeaderRow="0" firstDataRow="1" firstDataCol="0"/>
  <pivotFields count="11">
    <pivotField showAll="0"/>
    <pivotField numFmtId="14" showAll="0">
      <items count="369">
        <item h="1" x="0"/>
        <item h="1" x="1"/>
        <item h="1" x="2"/>
        <item h="1" x="3"/>
        <item h="1" x="4"/>
        <item h="1" x="5"/>
        <item h="1" x="6"/>
        <item h="1" x="7"/>
        <item h="1" x="8"/>
        <item h="1" x="9"/>
        <item h="1" x="10"/>
        <item h="1" x="11"/>
        <item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t="default"/>
      </items>
    </pivotField>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showAll="0"/>
    <pivotField dataField="1" numFmtId="164" showAll="0">
      <items count="12">
        <item x="2"/>
        <item h="1" x="1"/>
        <item h="1" x="6"/>
        <item h="1" x="0"/>
        <item h="1" x="7"/>
        <item h="1" x="4"/>
        <item h="1" x="8"/>
        <item h="1" x="3"/>
        <item h="1" x="10"/>
        <item h="1" x="5"/>
        <item h="1" x="9"/>
        <item t="default"/>
      </items>
    </pivotField>
    <pivotField dataField="1" numFmtId="164" showAll="0" defaultSubtotal="0">
      <items count="11">
        <item x="2"/>
        <item h="1" x="1"/>
        <item h="1" x="6"/>
        <item h="1" x="0"/>
        <item h="1" x="7"/>
        <item h="1" x="4"/>
        <item h="1" x="8"/>
        <item h="1" x="3"/>
        <item h="1" x="10"/>
        <item h="1" x="5"/>
        <item h="1" x="9"/>
      </items>
    </pivotField>
    <pivotField numFmtId="164" showAll="0"/>
    <pivotField showAll="0" defaultSubtotal="0"/>
    <pivotField showAll="0" defaultSubtotal="0">
      <items count="14">
        <item x="0"/>
        <item x="1"/>
        <item x="2"/>
        <item x="3"/>
        <item x="4"/>
        <item x="5"/>
        <item x="6"/>
        <item x="7"/>
        <item x="8"/>
        <item x="9"/>
        <item x="10"/>
        <item x="11"/>
        <item x="12"/>
        <item x="13"/>
      </items>
    </pivotField>
  </pivotFields>
  <rowItems count="1">
    <i/>
  </rowItems>
  <colFields count="1">
    <field x="-2"/>
  </colFields>
  <colItems count="2">
    <i>
      <x/>
    </i>
    <i i="1">
      <x v="1"/>
    </i>
  </colItems>
  <dataFields count="2">
    <dataField name="Sum of Tax (USD)" fld="6" baseField="0" baseItem="0"/>
    <dataField name="Sum of Net Revenue" fld="7"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 chart="2" format="9">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81:B82" firstHeaderRow="1" firstDataRow="1" firstDataCol="1"/>
  <pivotFields count="11">
    <pivotField showAll="0"/>
    <pivotField numFmtId="14" showAll="0"/>
    <pivotField showAll="0">
      <items count="52">
        <item x="14"/>
        <item x="21"/>
        <item x="22"/>
        <item x="8"/>
        <item x="46"/>
        <item x="35"/>
        <item x="39"/>
        <item x="6"/>
        <item x="18"/>
        <item x="27"/>
        <item x="31"/>
        <item x="50"/>
        <item x="43"/>
        <item x="5"/>
        <item x="2"/>
        <item x="26"/>
        <item x="44"/>
        <item x="33"/>
        <item x="17"/>
        <item x="1"/>
        <item x="19"/>
        <item x="47"/>
        <item x="28"/>
        <item x="36"/>
        <item x="13"/>
        <item x="29"/>
        <item x="23"/>
        <item x="48"/>
        <item x="41"/>
        <item x="0"/>
        <item x="9"/>
        <item x="16"/>
        <item x="4"/>
        <item x="38"/>
        <item x="34"/>
        <item x="25"/>
        <item x="45"/>
        <item x="15"/>
        <item x="11"/>
        <item x="49"/>
        <item x="20"/>
        <item x="3"/>
        <item x="40"/>
        <item x="30"/>
        <item x="12"/>
        <item x="7"/>
        <item x="32"/>
        <item x="42"/>
        <item x="37"/>
        <item x="24"/>
        <item x="1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numFmtId="164" showAll="0">
      <items count="12">
        <item x="2"/>
        <item x="1"/>
        <item x="6"/>
        <item x="0"/>
        <item x="7"/>
        <item x="4"/>
        <item x="8"/>
        <item x="3"/>
        <item x="10"/>
        <item x="5"/>
        <item x="9"/>
        <item t="default"/>
      </items>
    </pivotField>
    <pivotField dataField="1" showAll="0"/>
    <pivotField numFmtId="164" showAll="0"/>
    <pivotField numFmtId="164" showAll="0" defaultSubtotal="0"/>
    <pivotField numFmtId="164" showAll="0"/>
    <pivotField showAll="0" defaultSubtotal="0">
      <items count="14">
        <item h="1" x="0"/>
        <item h="1" x="1"/>
        <item h="1" x="2"/>
        <item x="3"/>
        <item x="4"/>
        <item x="5"/>
        <item x="6"/>
        <item x="7"/>
        <item h="1" x="8"/>
        <item h="1" x="9"/>
        <item h="1" x="10"/>
        <item h="1" x="11"/>
        <item h="1" x="12"/>
        <item h="1" x="13"/>
      </items>
    </pivotField>
    <pivotField showAll="0" defaultSubtotal="0">
      <items count="14">
        <item x="0"/>
        <item x="1"/>
        <item x="2"/>
        <item x="3"/>
        <item x="4"/>
        <item x="5"/>
        <item x="6"/>
        <item x="7"/>
        <item x="8"/>
        <item x="9"/>
        <item x="10"/>
        <item x="11"/>
        <item x="12"/>
        <item x="13"/>
      </items>
    </pivotField>
  </pivotFields>
  <rowFields count="1">
    <field x="4"/>
  </rowFields>
  <rowItems count="1">
    <i t="grand">
      <x/>
    </i>
  </rowItems>
  <colItems count="1">
    <i/>
  </colItems>
  <dataFields count="1">
    <dataField name="Sum of Order Quantity" fld="5" baseField="0" baseItem="0"/>
  </dataFields>
  <chartFormats count="2">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60:B62" firstHeaderRow="1" firstDataRow="1" firstDataCol="1"/>
  <pivotFields count="11">
    <pivotField showAll="0">
      <items count="71">
        <item x="0"/>
        <item h="1" x="1"/>
        <item h="1" x="3"/>
        <item h="1" x="2"/>
        <item h="1" x="5"/>
        <item h="1" x="4"/>
        <item h="1" x="6"/>
        <item h="1" x="7"/>
        <item h="1" x="8"/>
        <item h="1" x="9"/>
        <item h="1" x="10"/>
        <item h="1" x="11"/>
        <item h="1" x="12"/>
        <item h="1" x="13"/>
        <item h="1" x="15"/>
        <item h="1" x="14"/>
        <item h="1" x="17"/>
        <item h="1" x="16"/>
        <item h="1" x="18"/>
        <item h="1" x="19"/>
        <item h="1" x="20"/>
        <item h="1" x="21"/>
        <item h="1" x="22"/>
        <item h="1" x="23"/>
        <item h="1" x="25"/>
        <item h="1" x="24"/>
        <item h="1" x="26"/>
        <item h="1" x="27"/>
        <item h="1" x="28"/>
        <item h="1" x="29"/>
        <item h="1" x="31"/>
        <item h="1" x="30"/>
        <item h="1" x="32"/>
        <item h="1" x="33"/>
        <item h="1" x="35"/>
        <item h="1" x="34"/>
        <item h="1" x="36"/>
        <item h="1" x="37"/>
        <item h="1" x="39"/>
        <item h="1" x="38"/>
        <item h="1" x="41"/>
        <item h="1" x="40"/>
        <item h="1" x="43"/>
        <item h="1" x="42"/>
        <item h="1" x="45"/>
        <item h="1" x="44"/>
        <item h="1" x="46"/>
        <item h="1" x="47"/>
        <item h="1" x="49"/>
        <item h="1" x="48"/>
        <item h="1" x="51"/>
        <item h="1" x="50"/>
        <item h="1" x="52"/>
        <item h="1" x="53"/>
        <item h="1" x="55"/>
        <item h="1" x="54"/>
        <item h="1" x="56"/>
        <item h="1" x="57"/>
        <item h="1" x="58"/>
        <item h="1" x="59"/>
        <item h="1" x="60"/>
        <item h="1" x="61"/>
        <item h="1" x="62"/>
        <item h="1" x="64"/>
        <item h="1" x="63"/>
        <item h="1" x="65"/>
        <item h="1" x="66"/>
        <item h="1" x="67"/>
        <item h="1" x="69"/>
        <item h="1" x="68"/>
        <item t="default"/>
      </items>
    </pivotField>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numFmtId="14" showAll="0">
      <items count="369">
        <item h="1" x="0"/>
        <item h="1" x="1"/>
        <item h="1" x="2"/>
        <item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t="default"/>
      </items>
    </pivotField>
    <pivotField numFmtId="164" showAll="0"/>
    <pivotField showAll="0"/>
    <pivotField numFmtId="164" showAll="0"/>
    <pivotField numFmtId="164" showAll="0" defaultSubtotal="0"/>
    <pivotField dataField="1" numFmtId="164" showAll="0">
      <items count="12">
        <item x="2"/>
        <item x="1"/>
        <item x="6"/>
        <item x="0"/>
        <item x="7"/>
        <item x="4"/>
        <item x="8"/>
        <item x="3"/>
        <item x="10"/>
        <item x="5"/>
        <item x="9"/>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14">
        <item x="0"/>
        <item x="1"/>
        <item x="2"/>
        <item x="3"/>
        <item x="4"/>
        <item x="5"/>
        <item x="6"/>
        <item x="7"/>
        <item x="8"/>
        <item x="9"/>
        <item x="10"/>
        <item x="11"/>
        <item x="12"/>
        <item x="13"/>
      </items>
    </pivotField>
  </pivotFields>
  <rowFields count="2">
    <field x="9"/>
    <field x="1"/>
  </rowFields>
  <rowItems count="2">
    <i>
      <x v="1"/>
    </i>
    <i t="grand">
      <x/>
    </i>
  </rowItems>
  <colItems count="1">
    <i/>
  </colItems>
  <dataFields count="1">
    <dataField name="Sum of Total (USD)" fld="8" baseField="0" baseItem="0"/>
  </dataFields>
  <chartFormats count="2">
    <chartFormat chart="0"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53:E159" firstHeaderRow="1" firstDataRow="3" firstDataCol="1"/>
  <pivotFields count="11">
    <pivotField showAll="0"/>
    <pivotField axis="axisRow"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Col"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items count="7">
        <item x="1"/>
        <item x="0"/>
        <item x="3"/>
        <item x="2"/>
        <item x="4"/>
        <item x="5"/>
        <item t="default"/>
      </items>
    </pivotField>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14">
        <item sd="0" x="0"/>
        <item sd="0" x="1"/>
        <item sd="0" x="2"/>
        <item sd="0" x="3"/>
        <item sd="0" x="4"/>
        <item sd="0" x="5"/>
        <item sd="0" x="6"/>
        <item sd="0" x="7"/>
        <item sd="0" x="8"/>
        <item sd="0" x="9"/>
        <item sd="0" x="10"/>
        <item sd="0" x="11"/>
        <item sd="0" x="12"/>
        <item sd="0" x="13"/>
      </items>
    </pivotField>
  </pivotFields>
  <rowFields count="2">
    <field x="9"/>
    <field x="1"/>
  </rowFields>
  <rowItems count="4">
    <i>
      <x/>
    </i>
    <i>
      <x v="1"/>
    </i>
    <i>
      <x v="2"/>
    </i>
    <i t="grand">
      <x/>
    </i>
  </rowItems>
  <colFields count="2">
    <field x="10"/>
    <field x="3"/>
  </colFields>
  <colItems count="4">
    <i>
      <x/>
    </i>
    <i>
      <x v="1"/>
    </i>
    <i>
      <x v="2"/>
    </i>
    <i t="grand">
      <x/>
    </i>
  </colItems>
  <dataFields count="1">
    <dataField name="Average of Retail Price (USD)" fld="4" subtotal="average" baseField="9" baseItem="0"/>
  </dataFields>
  <chartFormats count="6">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2" format="6" series="1">
      <pivotArea type="data" outline="0" fieldPosition="0">
        <references count="2">
          <reference field="4294967294" count="1" selected="0">
            <x v="0"/>
          </reference>
          <reference field="10" count="1" selected="0">
            <x v="0"/>
          </reference>
        </references>
      </pivotArea>
    </chartFormat>
    <chartFormat chart="2" format="7" series="1">
      <pivotArea type="data" outline="0" fieldPosition="0">
        <references count="2">
          <reference field="4294967294" count="1" selected="0">
            <x v="0"/>
          </reference>
          <reference field="10" count="1" selected="0">
            <x v="1"/>
          </reference>
        </references>
      </pivotArea>
    </chartFormat>
    <chartFormat chart="2"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G56" firstHeaderRow="1" firstDataRow="2" firstDataCol="1"/>
  <pivotFields count="11">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ascending">
      <items count="52">
        <item x="14"/>
        <item x="21"/>
        <item x="22"/>
        <item x="8"/>
        <item x="46"/>
        <item x="35"/>
        <item x="39"/>
        <item x="6"/>
        <item x="18"/>
        <item x="27"/>
        <item x="31"/>
        <item x="50"/>
        <item x="43"/>
        <item x="5"/>
        <item x="2"/>
        <item x="26"/>
        <item x="44"/>
        <item x="33"/>
        <item x="17"/>
        <item x="1"/>
        <item x="19"/>
        <item x="47"/>
        <item x="28"/>
        <item x="36"/>
        <item x="13"/>
        <item x="29"/>
        <item x="23"/>
        <item x="48"/>
        <item x="41"/>
        <item x="0"/>
        <item x="9"/>
        <item x="16"/>
        <item x="4"/>
        <item x="38"/>
        <item x="34"/>
        <item x="25"/>
        <item x="45"/>
        <item x="15"/>
        <item x="11"/>
        <item x="49"/>
        <item x="20"/>
        <item x="3"/>
        <item x="40"/>
        <item x="30"/>
        <item x="12"/>
        <item x="7"/>
        <item x="32"/>
        <item x="42"/>
        <item x="37"/>
        <item x="24"/>
        <item x="10"/>
        <item t="default"/>
      </items>
    </pivotField>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pivotField axis="axisCol" showAll="0">
      <items count="6">
        <item x="1"/>
        <item x="0"/>
        <item x="3"/>
        <item x="2"/>
        <item x="4"/>
        <item t="default"/>
      </items>
    </pivotField>
    <pivotField numFmtId="164" showAll="0"/>
    <pivotField numFmtId="164" showAll="0" defaultSubtotal="0"/>
    <pivotField dataField="1" numFmtId="16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14">
        <item x="0"/>
        <item x="1"/>
        <item x="2"/>
        <item x="3"/>
        <item x="4"/>
        <item x="5"/>
        <item x="6"/>
        <item x="7"/>
        <item x="8"/>
        <item x="9"/>
        <item x="10"/>
        <item x="11"/>
        <item x="12"/>
        <item x="13"/>
      </items>
    </pivotField>
  </pivotFields>
  <rowFields count="1">
    <field x="2"/>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Fields count="1">
    <field x="5"/>
  </colFields>
  <colItems count="6">
    <i>
      <x/>
    </i>
    <i>
      <x v="1"/>
    </i>
    <i>
      <x v="2"/>
    </i>
    <i>
      <x v="3"/>
    </i>
    <i>
      <x v="4"/>
    </i>
    <i t="grand">
      <x/>
    </i>
  </colItems>
  <dataFields count="1">
    <dataField name="Sum of Total (USD)" fld="8" baseField="0" baseItem="0"/>
  </dataFields>
  <chartFormats count="10">
    <chartFormat chart="0" format="5" series="1">
      <pivotArea type="data" outline="0" fieldPosition="0">
        <references count="2">
          <reference field="4294967294" count="1" selected="0">
            <x v="0"/>
          </reference>
          <reference field="5" count="1" selected="0">
            <x v="0"/>
          </reference>
        </references>
      </pivotArea>
    </chartFormat>
    <chartFormat chart="0" format="6" series="1">
      <pivotArea type="data" outline="0" fieldPosition="0">
        <references count="2">
          <reference field="4294967294" count="1" selected="0">
            <x v="0"/>
          </reference>
          <reference field="5" count="1" selected="0">
            <x v="1"/>
          </reference>
        </references>
      </pivotArea>
    </chartFormat>
    <chartFormat chart="0" format="7" series="1">
      <pivotArea type="data" outline="0" fieldPosition="0">
        <references count="2">
          <reference field="4294967294" count="1" selected="0">
            <x v="0"/>
          </reference>
          <reference field="5" count="1" selected="0">
            <x v="2"/>
          </reference>
        </references>
      </pivotArea>
    </chartFormat>
    <chartFormat chart="0" format="8" series="1">
      <pivotArea type="data" outline="0" fieldPosition="0">
        <references count="2">
          <reference field="4294967294" count="1" selected="0">
            <x v="0"/>
          </reference>
          <reference field="5" count="1" selected="0">
            <x v="3"/>
          </reference>
        </references>
      </pivotArea>
    </chartFormat>
    <chartFormat chart="0" format="9" series="1">
      <pivotArea type="data" outline="0" fieldPosition="0">
        <references count="2">
          <reference field="4294967294" count="1" selected="0">
            <x v="0"/>
          </reference>
          <reference field="5" count="1" selected="0">
            <x v="4"/>
          </reference>
        </references>
      </pivotArea>
    </chartFormat>
    <chartFormat chart="2" format="15" series="1">
      <pivotArea type="data" outline="0" fieldPosition="0">
        <references count="2">
          <reference field="4294967294" count="1" selected="0">
            <x v="0"/>
          </reference>
          <reference field="5" count="1" selected="0">
            <x v="0"/>
          </reference>
        </references>
      </pivotArea>
    </chartFormat>
    <chartFormat chart="2" format="16" series="1">
      <pivotArea type="data" outline="0" fieldPosition="0">
        <references count="2">
          <reference field="4294967294" count="1" selected="0">
            <x v="0"/>
          </reference>
          <reference field="5" count="1" selected="0">
            <x v="1"/>
          </reference>
        </references>
      </pivotArea>
    </chartFormat>
    <chartFormat chart="2" format="17" series="1">
      <pivotArea type="data" outline="0" fieldPosition="0">
        <references count="2">
          <reference field="4294967294" count="1" selected="0">
            <x v="0"/>
          </reference>
          <reference field="5" count="1" selected="0">
            <x v="2"/>
          </reference>
        </references>
      </pivotArea>
    </chartFormat>
    <chartFormat chart="2" format="18" series="1">
      <pivotArea type="data" outline="0" fieldPosition="0">
        <references count="2">
          <reference field="4294967294" count="1" selected="0">
            <x v="0"/>
          </reference>
          <reference field="5" count="1" selected="0">
            <x v="3"/>
          </reference>
        </references>
      </pivotArea>
    </chartFormat>
    <chartFormat chart="2" format="19"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17:B119" firstHeaderRow="1" firstDataRow="1" firstDataCol="1"/>
  <pivotFields count="11">
    <pivotField dataField="1" showAll="0"/>
    <pivotField numFmtId="14"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64" showAll="0">
      <items count="12">
        <item x="2"/>
        <item h="1" x="1"/>
        <item h="1" x="6"/>
        <item h="1" x="0"/>
        <item h="1" x="7"/>
        <item h="1" x="4"/>
        <item h="1" x="8"/>
        <item h="1" x="3"/>
        <item h="1" x="10"/>
        <item h="1" x="5"/>
        <item h="1" x="9"/>
        <item t="default"/>
      </items>
    </pivotField>
    <pivotField axis="axisRow" showAll="0">
      <items count="6">
        <item x="1"/>
        <item x="0"/>
        <item x="3"/>
        <item x="2"/>
        <item x="4"/>
        <item t="default"/>
      </items>
    </pivotField>
    <pivotField numFmtId="164" showAll="0"/>
    <pivotField numFmtId="164" showAll="0"/>
    <pivotField numFmtId="164"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2">
    <i>
      <x v="3"/>
    </i>
    <i t="grand">
      <x/>
    </i>
  </rowItems>
  <colItems count="1">
    <i/>
  </colItems>
  <dataFields count="1">
    <dataField name="Count of Order No"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No" sourceName="Order No">
  <pivotTables>
    <pivotTable tabId="4" name="PivotTable2"/>
  </pivotTables>
  <data>
    <tabular pivotCacheId="1">
      <items count="70">
        <i x="0" s="1"/>
        <i x="2"/>
        <i x="1" nd="1"/>
        <i x="3" nd="1"/>
        <i x="5" nd="1"/>
        <i x="4" nd="1"/>
        <i x="6" nd="1"/>
        <i x="7" nd="1"/>
        <i x="8" nd="1"/>
        <i x="9" nd="1"/>
        <i x="10" nd="1"/>
        <i x="11" nd="1"/>
        <i x="12" nd="1"/>
        <i x="13" nd="1"/>
        <i x="15" nd="1"/>
        <i x="14" nd="1"/>
        <i x="17" nd="1"/>
        <i x="16" nd="1"/>
        <i x="18" nd="1"/>
        <i x="19" nd="1"/>
        <i x="20" nd="1"/>
        <i x="21" nd="1"/>
        <i x="22" nd="1"/>
        <i x="23" nd="1"/>
        <i x="25" nd="1"/>
        <i x="24" nd="1"/>
        <i x="26" nd="1"/>
        <i x="27" nd="1"/>
        <i x="28" nd="1"/>
        <i x="29" nd="1"/>
        <i x="31" nd="1"/>
        <i x="30" nd="1"/>
        <i x="32" nd="1"/>
        <i x="33" nd="1"/>
        <i x="35" nd="1"/>
        <i x="34" nd="1"/>
        <i x="36" nd="1"/>
        <i x="37" nd="1"/>
        <i x="39" nd="1"/>
        <i x="38" nd="1"/>
        <i x="41" nd="1"/>
        <i x="40" nd="1"/>
        <i x="43" nd="1"/>
        <i x="42" nd="1"/>
        <i x="45" nd="1"/>
        <i x="44" nd="1"/>
        <i x="46" nd="1"/>
        <i x="47" nd="1"/>
        <i x="49" nd="1"/>
        <i x="48" nd="1"/>
        <i x="51" nd="1"/>
        <i x="50" nd="1"/>
        <i x="52" nd="1"/>
        <i x="53" nd="1"/>
        <i x="55" nd="1"/>
        <i x="54" nd="1"/>
        <i x="56" nd="1"/>
        <i x="57" nd="1"/>
        <i x="58" nd="1"/>
        <i x="59" nd="1"/>
        <i x="60" nd="1"/>
        <i x="61" nd="1"/>
        <i x="62" nd="1"/>
        <i x="64" nd="1"/>
        <i x="63" nd="1"/>
        <i x="65" nd="1"/>
        <i x="66" nd="1"/>
        <i x="67" nd="1"/>
        <i x="69" nd="1"/>
        <i x="68"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Date" sourceName="Order Date">
  <pivotTables>
    <pivotTable tabId="4" name="PivotTable4"/>
  </pivotTables>
  <data>
    <tabular pivotCacheId="1">
      <items count="368">
        <i x="12" s="1"/>
        <i x="17"/>
        <i x="21"/>
        <i x="26"/>
        <i x="2"/>
        <i x="30"/>
        <i x="35"/>
        <i x="8"/>
        <i x="0" nd="1"/>
        <i x="367" nd="1"/>
        <i x="101" nd="1"/>
        <i x="223" nd="1"/>
        <i x="345" nd="1"/>
        <i x="41" nd="1"/>
        <i x="10" nd="1"/>
        <i x="192" nd="1"/>
        <i x="162" nd="1"/>
        <i x="70" nd="1"/>
        <i x="131" nd="1"/>
        <i x="315" nd="1"/>
        <i x="284" nd="1"/>
        <i x="254" nd="1"/>
        <i x="102" nd="1"/>
        <i x="224" nd="1"/>
        <i x="346" nd="1"/>
        <i x="42" nd="1"/>
        <i x="11" nd="1"/>
        <i x="193" nd="1"/>
        <i x="163" nd="1"/>
        <i x="71" nd="1"/>
        <i x="132" nd="1"/>
        <i x="316" nd="1"/>
        <i x="285" nd="1"/>
        <i x="255" nd="1"/>
        <i x="103" nd="1"/>
        <i x="225" nd="1"/>
        <i x="347" nd="1"/>
        <i x="43" nd="1"/>
        <i x="194" nd="1"/>
        <i x="164" nd="1"/>
        <i x="72" nd="1"/>
        <i x="133" nd="1"/>
        <i x="317" nd="1"/>
        <i x="286" nd="1"/>
        <i x="256" nd="1"/>
        <i x="104" nd="1"/>
        <i x="226" nd="1"/>
        <i x="348" nd="1"/>
        <i x="44" nd="1"/>
        <i x="13" nd="1"/>
        <i x="195" nd="1"/>
        <i x="165" nd="1"/>
        <i x="73" nd="1"/>
        <i x="134" nd="1"/>
        <i x="318" nd="1"/>
        <i x="287" nd="1"/>
        <i x="257" nd="1"/>
        <i x="105" nd="1"/>
        <i x="227" nd="1"/>
        <i x="349" nd="1"/>
        <i x="45" nd="1"/>
        <i x="14" nd="1"/>
        <i x="196" nd="1"/>
        <i x="166" nd="1"/>
        <i x="74" nd="1"/>
        <i x="135" nd="1"/>
        <i x="319" nd="1"/>
        <i x="288" nd="1"/>
        <i x="258" nd="1"/>
        <i x="106" nd="1"/>
        <i x="228" nd="1"/>
        <i x="350" nd="1"/>
        <i x="46" nd="1"/>
        <i x="15" nd="1"/>
        <i x="197" nd="1"/>
        <i x="167" nd="1"/>
        <i x="75" nd="1"/>
        <i x="136" nd="1"/>
        <i x="320" nd="1"/>
        <i x="289" nd="1"/>
        <i x="259" nd="1"/>
        <i x="107" nd="1"/>
        <i x="229" nd="1"/>
        <i x="351" nd="1"/>
        <i x="47" nd="1"/>
        <i x="16" nd="1"/>
        <i x="198" nd="1"/>
        <i x="168" nd="1"/>
        <i x="76" nd="1"/>
        <i x="137" nd="1"/>
        <i x="321" nd="1"/>
        <i x="290" nd="1"/>
        <i x="260" nd="1"/>
        <i x="108" nd="1"/>
        <i x="230" nd="1"/>
        <i x="352" nd="1"/>
        <i x="48" nd="1"/>
        <i x="199" nd="1"/>
        <i x="169" nd="1"/>
        <i x="77" nd="1"/>
        <i x="138" nd="1"/>
        <i x="322" nd="1"/>
        <i x="291" nd="1"/>
        <i x="261" nd="1"/>
        <i x="109" nd="1"/>
        <i x="231" nd="1"/>
        <i x="353" nd="1"/>
        <i x="49" nd="1"/>
        <i x="18" nd="1"/>
        <i x="200" nd="1"/>
        <i x="170" nd="1"/>
        <i x="78" nd="1"/>
        <i x="139" nd="1"/>
        <i x="323" nd="1"/>
        <i x="292" nd="1"/>
        <i x="262" nd="1"/>
        <i x="110" nd="1"/>
        <i x="232" nd="1"/>
        <i x="354" nd="1"/>
        <i x="50" nd="1"/>
        <i x="19" nd="1"/>
        <i x="201" nd="1"/>
        <i x="171" nd="1"/>
        <i x="79" nd="1"/>
        <i x="140" nd="1"/>
        <i x="324" nd="1"/>
        <i x="293" nd="1"/>
        <i x="263" nd="1"/>
        <i x="92" nd="1"/>
        <i x="214" nd="1"/>
        <i x="336" nd="1"/>
        <i x="32" nd="1"/>
        <i x="1" nd="1"/>
        <i x="183" nd="1"/>
        <i x="153" nd="1"/>
        <i x="61" nd="1"/>
        <i x="122" nd="1"/>
        <i x="306" nd="1"/>
        <i x="275" nd="1"/>
        <i x="245" nd="1"/>
        <i x="111" nd="1"/>
        <i x="233" nd="1"/>
        <i x="355" nd="1"/>
        <i x="51" nd="1"/>
        <i x="20" nd="1"/>
        <i x="202" nd="1"/>
        <i x="172" nd="1"/>
        <i x="80" nd="1"/>
        <i x="141" nd="1"/>
        <i x="325" nd="1"/>
        <i x="294" nd="1"/>
        <i x="264" nd="1"/>
        <i x="112" nd="1"/>
        <i x="234" nd="1"/>
        <i x="356" nd="1"/>
        <i x="52" nd="1"/>
        <i x="203" nd="1"/>
        <i x="173" nd="1"/>
        <i x="81" nd="1"/>
        <i x="142" nd="1"/>
        <i x="326" nd="1"/>
        <i x="295" nd="1"/>
        <i x="265" nd="1"/>
        <i x="113" nd="1"/>
        <i x="235" nd="1"/>
        <i x="357" nd="1"/>
        <i x="53" nd="1"/>
        <i x="22" nd="1"/>
        <i x="204" nd="1"/>
        <i x="174" nd="1"/>
        <i x="82" nd="1"/>
        <i x="143" nd="1"/>
        <i x="327" nd="1"/>
        <i x="296" nd="1"/>
        <i x="266" nd="1"/>
        <i x="114" nd="1"/>
        <i x="236" nd="1"/>
        <i x="358" nd="1"/>
        <i x="54" nd="1"/>
        <i x="23" nd="1"/>
        <i x="205" nd="1"/>
        <i x="175" nd="1"/>
        <i x="83" nd="1"/>
        <i x="144" nd="1"/>
        <i x="328" nd="1"/>
        <i x="297" nd="1"/>
        <i x="267" nd="1"/>
        <i x="115" nd="1"/>
        <i x="237" nd="1"/>
        <i x="359" nd="1"/>
        <i x="55" nd="1"/>
        <i x="24" nd="1"/>
        <i x="206" nd="1"/>
        <i x="176" nd="1"/>
        <i x="84" nd="1"/>
        <i x="145" nd="1"/>
        <i x="329" nd="1"/>
        <i x="298" nd="1"/>
        <i x="268" nd="1"/>
        <i x="116" nd="1"/>
        <i x="238" nd="1"/>
        <i x="360" nd="1"/>
        <i x="56" nd="1"/>
        <i x="25" nd="1"/>
        <i x="207" nd="1"/>
        <i x="177" nd="1"/>
        <i x="85" nd="1"/>
        <i x="146" nd="1"/>
        <i x="330" nd="1"/>
        <i x="299" nd="1"/>
        <i x="269" nd="1"/>
        <i x="117" nd="1"/>
        <i x="239" nd="1"/>
        <i x="361" nd="1"/>
        <i x="57" nd="1"/>
        <i x="208" nd="1"/>
        <i x="178" nd="1"/>
        <i x="86" nd="1"/>
        <i x="147" nd="1"/>
        <i x="331" nd="1"/>
        <i x="300" nd="1"/>
        <i x="270" nd="1"/>
        <i x="118" nd="1"/>
        <i x="240" nd="1"/>
        <i x="362" nd="1"/>
        <i x="58" nd="1"/>
        <i x="27" nd="1"/>
        <i x="209" nd="1"/>
        <i x="179" nd="1"/>
        <i x="87" nd="1"/>
        <i x="148" nd="1"/>
        <i x="332" nd="1"/>
        <i x="301" nd="1"/>
        <i x="271" nd="1"/>
        <i x="119" nd="1"/>
        <i x="241" nd="1"/>
        <i x="363" nd="1"/>
        <i x="59" nd="1"/>
        <i x="28" nd="1"/>
        <i x="210" nd="1"/>
        <i x="180" nd="1"/>
        <i x="88" nd="1"/>
        <i x="149" nd="1"/>
        <i x="333" nd="1"/>
        <i x="302" nd="1"/>
        <i x="272" nd="1"/>
        <i x="120" nd="1"/>
        <i x="242" nd="1"/>
        <i x="364" nd="1"/>
        <i x="60" nd="1"/>
        <i x="29" nd="1"/>
        <i x="211" nd="1"/>
        <i x="181" nd="1"/>
        <i x="89" nd="1"/>
        <i x="150" nd="1"/>
        <i x="334" nd="1"/>
        <i x="303" nd="1"/>
        <i x="273" nd="1"/>
        <i x="93" nd="1"/>
        <i x="215" nd="1"/>
        <i x="337" nd="1"/>
        <i x="33" nd="1"/>
        <i x="184" nd="1"/>
        <i x="154" nd="1"/>
        <i x="62" nd="1"/>
        <i x="123" nd="1"/>
        <i x="307" nd="1"/>
        <i x="276" nd="1"/>
        <i x="246" nd="1"/>
        <i x="121" nd="1"/>
        <i x="243" nd="1"/>
        <i x="365" nd="1"/>
        <i x="212" nd="1"/>
        <i x="182" nd="1"/>
        <i x="90" nd="1"/>
        <i x="151" nd="1"/>
        <i x="335" nd="1"/>
        <i x="304" nd="1"/>
        <i x="274" nd="1"/>
        <i x="244" nd="1"/>
        <i x="366" nd="1"/>
        <i x="31" nd="1"/>
        <i x="213" nd="1"/>
        <i x="91" nd="1"/>
        <i x="152" nd="1"/>
        <i x="305" nd="1"/>
        <i x="94" nd="1"/>
        <i x="216" nd="1"/>
        <i x="338" nd="1"/>
        <i x="34" nd="1"/>
        <i x="3" nd="1"/>
        <i x="185" nd="1"/>
        <i x="155" nd="1"/>
        <i x="63" nd="1"/>
        <i x="124" nd="1"/>
        <i x="308" nd="1"/>
        <i x="277" nd="1"/>
        <i x="247" nd="1"/>
        <i x="95" nd="1"/>
        <i x="217" nd="1"/>
        <i x="339" nd="1"/>
        <i x="4" nd="1"/>
        <i x="186" nd="1"/>
        <i x="156" nd="1"/>
        <i x="64" nd="1"/>
        <i x="125" nd="1"/>
        <i x="309" nd="1"/>
        <i x="278" nd="1"/>
        <i x="248" nd="1"/>
        <i x="96" nd="1"/>
        <i x="218" nd="1"/>
        <i x="340" nd="1"/>
        <i x="36" nd="1"/>
        <i x="5" nd="1"/>
        <i x="187" nd="1"/>
        <i x="157" nd="1"/>
        <i x="65" nd="1"/>
        <i x="126" nd="1"/>
        <i x="310" nd="1"/>
        <i x="279" nd="1"/>
        <i x="249" nd="1"/>
        <i x="97" nd="1"/>
        <i x="219" nd="1"/>
        <i x="341" nd="1"/>
        <i x="37" nd="1"/>
        <i x="6" nd="1"/>
        <i x="188" nd="1"/>
        <i x="158" nd="1"/>
        <i x="66" nd="1"/>
        <i x="127" nd="1"/>
        <i x="311" nd="1"/>
        <i x="280" nd="1"/>
        <i x="250" nd="1"/>
        <i x="98" nd="1"/>
        <i x="220" nd="1"/>
        <i x="342" nd="1"/>
        <i x="38" nd="1"/>
        <i x="7" nd="1"/>
        <i x="189" nd="1"/>
        <i x="159" nd="1"/>
        <i x="67" nd="1"/>
        <i x="128" nd="1"/>
        <i x="312" nd="1"/>
        <i x="281" nd="1"/>
        <i x="251" nd="1"/>
        <i x="99" nd="1"/>
        <i x="221" nd="1"/>
        <i x="343" nd="1"/>
        <i x="39" nd="1"/>
        <i x="190" nd="1"/>
        <i x="160" nd="1"/>
        <i x="68" nd="1"/>
        <i x="129" nd="1"/>
        <i x="313" nd="1"/>
        <i x="282" nd="1"/>
        <i x="252" nd="1"/>
        <i x="100" nd="1"/>
        <i x="222" nd="1"/>
        <i x="344" nd="1"/>
        <i x="40" nd="1"/>
        <i x="9" nd="1"/>
        <i x="191" nd="1"/>
        <i x="161" nd="1"/>
        <i x="69" nd="1"/>
        <i x="130" nd="1"/>
        <i x="314" nd="1"/>
        <i x="283" nd="1"/>
        <i x="25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Tax__USD" sourceName="Tax (USD)">
  <pivotTables>
    <pivotTable tabId="4" name="PivotTable4"/>
  </pivotTables>
  <data>
    <tabular pivotCacheId="1">
      <items count="11">
        <i x="2" s="1"/>
        <i x="1" nd="1"/>
        <i x="6" nd="1"/>
        <i x="0" nd="1"/>
        <i x="7" nd="1"/>
        <i x="4" nd="1"/>
        <i x="8" nd="1"/>
        <i x="3" nd="1"/>
        <i x="10" nd="1"/>
        <i x="5" nd="1"/>
        <i x="9"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Net_Revenue" sourceName="Net Revenue">
  <pivotTables>
    <pivotTable tabId="4" name="PivotTable4"/>
  </pivotTables>
  <data>
    <tabular pivotCacheId="1">
      <items count="11">
        <i x="2" s="1"/>
        <i x="1" nd="1"/>
        <i x="6" nd="1"/>
        <i x="0" nd="1"/>
        <i x="7" nd="1"/>
        <i x="4" nd="1"/>
        <i x="8" nd="1"/>
        <i x="3" nd="1"/>
        <i x="10" nd="1"/>
        <i x="5" nd="1"/>
        <i x="9"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ustomer_Name" sourceName="Customer Name">
  <pivotTables>
    <pivotTable tabId="4" name="PivotTable3"/>
  </pivotTables>
  <data>
    <tabular pivotCacheId="1">
      <items count="51">
        <i x="14" s="1" nd="1"/>
        <i x="21" s="1" nd="1"/>
        <i x="22" s="1" nd="1"/>
        <i x="8" s="1" nd="1"/>
        <i x="46" s="1" nd="1"/>
        <i x="35" s="1" nd="1"/>
        <i x="39" s="1" nd="1"/>
        <i x="6" s="1" nd="1"/>
        <i x="18" s="1" nd="1"/>
        <i x="27" s="1" nd="1"/>
        <i x="31" s="1" nd="1"/>
        <i x="50" s="1" nd="1"/>
        <i x="43" s="1" nd="1"/>
        <i x="5" s="1" nd="1"/>
        <i x="2" s="1" nd="1"/>
        <i x="26" s="1" nd="1"/>
        <i x="44" s="1" nd="1"/>
        <i x="33" s="1" nd="1"/>
        <i x="17" s="1" nd="1"/>
        <i x="1" s="1" nd="1"/>
        <i x="19" s="1" nd="1"/>
        <i x="47" s="1" nd="1"/>
        <i x="28" s="1" nd="1"/>
        <i x="36" s="1" nd="1"/>
        <i x="13" s="1" nd="1"/>
        <i x="29" s="1" nd="1"/>
        <i x="23" s="1" nd="1"/>
        <i x="48" s="1" nd="1"/>
        <i x="41" s="1" nd="1"/>
        <i x="0" s="1" nd="1"/>
        <i x="9" s="1" nd="1"/>
        <i x="16" s="1" nd="1"/>
        <i x="4" s="1" nd="1"/>
        <i x="38" s="1" nd="1"/>
        <i x="34" s="1" nd="1"/>
        <i x="25" s="1" nd="1"/>
        <i x="45" s="1" nd="1"/>
        <i x="15" s="1" nd="1"/>
        <i x="11" s="1" nd="1"/>
        <i x="49" s="1" nd="1"/>
        <i x="20" s="1" nd="1"/>
        <i x="3" s="1" nd="1"/>
        <i x="40" s="1" nd="1"/>
        <i x="30" s="1" nd="1"/>
        <i x="12" s="1" nd="1"/>
        <i x="7" s="1" nd="1"/>
        <i x="32" s="1" nd="1"/>
        <i x="42" s="1" nd="1"/>
        <i x="37" s="1" nd="1"/>
        <i x="24" s="1" nd="1"/>
        <i x="10"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Retail_Price__USD" sourceName="Retail Price (USD)">
  <pivotTables>
    <pivotTable tabId="4" name="PivotTable5"/>
  </pivotTables>
  <data>
    <tabular pivotCacheId="1">
      <items count="11">
        <i x="2" s="1"/>
        <i x="1"/>
        <i x="6"/>
        <i x="0"/>
        <i x="7"/>
        <i x="4"/>
        <i x="8"/>
        <i x="3"/>
        <i x="10"/>
        <i x="5"/>
        <i x="9"/>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Ship_Date" sourceName="Ship Date">
  <pivotTables>
    <pivotTable tabId="4" name="PivotTable2"/>
  </pivotTables>
  <data>
    <tabular pivotCacheId="1">
      <items count="368">
        <i x="3" s="1"/>
        <i x="0" nd="1"/>
        <i x="367" nd="1"/>
        <i x="101" nd="1"/>
        <i x="223" nd="1"/>
        <i x="345" nd="1"/>
        <i x="41" nd="1"/>
        <i x="10" nd="1"/>
        <i x="192" nd="1"/>
        <i x="162" nd="1"/>
        <i x="70" nd="1"/>
        <i x="131" nd="1"/>
        <i x="315" nd="1"/>
        <i x="284" nd="1"/>
        <i x="254" nd="1"/>
        <i x="102" nd="1"/>
        <i x="224" nd="1"/>
        <i x="346" nd="1"/>
        <i x="42" nd="1"/>
        <i x="11" nd="1"/>
        <i x="193" nd="1"/>
        <i x="163" nd="1"/>
        <i x="71" nd="1"/>
        <i x="132" nd="1"/>
        <i x="316" nd="1"/>
        <i x="285" nd="1"/>
        <i x="255" nd="1"/>
        <i x="103" nd="1"/>
        <i x="225" nd="1"/>
        <i x="347" nd="1"/>
        <i x="43" nd="1"/>
        <i x="12" nd="1"/>
        <i x="194" nd="1"/>
        <i x="164" nd="1"/>
        <i x="72" nd="1"/>
        <i x="133" nd="1"/>
        <i x="317" nd="1"/>
        <i x="286" nd="1"/>
        <i x="256" nd="1"/>
        <i x="104" nd="1"/>
        <i x="226" nd="1"/>
        <i x="348" nd="1"/>
        <i x="44" nd="1"/>
        <i x="13" nd="1"/>
        <i x="195" nd="1"/>
        <i x="165" nd="1"/>
        <i x="73" nd="1"/>
        <i x="134" nd="1"/>
        <i x="318" nd="1"/>
        <i x="287" nd="1"/>
        <i x="257" nd="1"/>
        <i x="105" nd="1"/>
        <i x="227" nd="1"/>
        <i x="349" nd="1"/>
        <i x="45" nd="1"/>
        <i x="14" nd="1"/>
        <i x="196" nd="1"/>
        <i x="166" nd="1"/>
        <i x="74" nd="1"/>
        <i x="135" nd="1"/>
        <i x="319" nd="1"/>
        <i x="288" nd="1"/>
        <i x="258" nd="1"/>
        <i x="106" nd="1"/>
        <i x="228" nd="1"/>
        <i x="350" nd="1"/>
        <i x="46" nd="1"/>
        <i x="15" nd="1"/>
        <i x="197" nd="1"/>
        <i x="167" nd="1"/>
        <i x="75" nd="1"/>
        <i x="136" nd="1"/>
        <i x="320" nd="1"/>
        <i x="289" nd="1"/>
        <i x="259" nd="1"/>
        <i x="107" nd="1"/>
        <i x="229" nd="1"/>
        <i x="351" nd="1"/>
        <i x="47" nd="1"/>
        <i x="16" nd="1"/>
        <i x="198" nd="1"/>
        <i x="168" nd="1"/>
        <i x="76" nd="1"/>
        <i x="137" nd="1"/>
        <i x="321" nd="1"/>
        <i x="290" nd="1"/>
        <i x="260" nd="1"/>
        <i x="108" nd="1"/>
        <i x="230" nd="1"/>
        <i x="352" nd="1"/>
        <i x="48" nd="1"/>
        <i x="17" nd="1"/>
        <i x="199" nd="1"/>
        <i x="169" nd="1"/>
        <i x="77" nd="1"/>
        <i x="138" nd="1"/>
        <i x="322" nd="1"/>
        <i x="291" nd="1"/>
        <i x="261" nd="1"/>
        <i x="109" nd="1"/>
        <i x="231" nd="1"/>
        <i x="353" nd="1"/>
        <i x="49" nd="1"/>
        <i x="18" nd="1"/>
        <i x="200" nd="1"/>
        <i x="170" nd="1"/>
        <i x="78" nd="1"/>
        <i x="139" nd="1"/>
        <i x="323" nd="1"/>
        <i x="292" nd="1"/>
        <i x="262" nd="1"/>
        <i x="110" nd="1"/>
        <i x="232" nd="1"/>
        <i x="354" nd="1"/>
        <i x="50" nd="1"/>
        <i x="19" nd="1"/>
        <i x="201" nd="1"/>
        <i x="171" nd="1"/>
        <i x="79" nd="1"/>
        <i x="140" nd="1"/>
        <i x="324" nd="1"/>
        <i x="293" nd="1"/>
        <i x="263" nd="1"/>
        <i x="92" nd="1"/>
        <i x="214" nd="1"/>
        <i x="336" nd="1"/>
        <i x="32" nd="1"/>
        <i x="1" nd="1"/>
        <i x="183" nd="1"/>
        <i x="153" nd="1"/>
        <i x="61" nd="1"/>
        <i x="122" nd="1"/>
        <i x="306" nd="1"/>
        <i x="275" nd="1"/>
        <i x="245" nd="1"/>
        <i x="111" nd="1"/>
        <i x="233" nd="1"/>
        <i x="355" nd="1"/>
        <i x="51" nd="1"/>
        <i x="20" nd="1"/>
        <i x="202" nd="1"/>
        <i x="172" nd="1"/>
        <i x="80" nd="1"/>
        <i x="141" nd="1"/>
        <i x="325" nd="1"/>
        <i x="294" nd="1"/>
        <i x="264" nd="1"/>
        <i x="112" nd="1"/>
        <i x="234" nd="1"/>
        <i x="356" nd="1"/>
        <i x="52" nd="1"/>
        <i x="21" nd="1"/>
        <i x="203" nd="1"/>
        <i x="173" nd="1"/>
        <i x="81" nd="1"/>
        <i x="142" nd="1"/>
        <i x="326" nd="1"/>
        <i x="295" nd="1"/>
        <i x="265" nd="1"/>
        <i x="113" nd="1"/>
        <i x="235" nd="1"/>
        <i x="357" nd="1"/>
        <i x="53" nd="1"/>
        <i x="22" nd="1"/>
        <i x="204" nd="1"/>
        <i x="174" nd="1"/>
        <i x="82" nd="1"/>
        <i x="143" nd="1"/>
        <i x="327" nd="1"/>
        <i x="296" nd="1"/>
        <i x="266" nd="1"/>
        <i x="114" nd="1"/>
        <i x="236" nd="1"/>
        <i x="358" nd="1"/>
        <i x="54" nd="1"/>
        <i x="23" nd="1"/>
        <i x="205" nd="1"/>
        <i x="175" nd="1"/>
        <i x="83" nd="1"/>
        <i x="144" nd="1"/>
        <i x="328" nd="1"/>
        <i x="297" nd="1"/>
        <i x="267" nd="1"/>
        <i x="115" nd="1"/>
        <i x="237" nd="1"/>
        <i x="359" nd="1"/>
        <i x="55" nd="1"/>
        <i x="24" nd="1"/>
        <i x="206" nd="1"/>
        <i x="176" nd="1"/>
        <i x="84" nd="1"/>
        <i x="145" nd="1"/>
        <i x="329" nd="1"/>
        <i x="298" nd="1"/>
        <i x="268" nd="1"/>
        <i x="116" nd="1"/>
        <i x="238" nd="1"/>
        <i x="360" nd="1"/>
        <i x="56" nd="1"/>
        <i x="25" nd="1"/>
        <i x="207" nd="1"/>
        <i x="177" nd="1"/>
        <i x="85" nd="1"/>
        <i x="146" nd="1"/>
        <i x="330" nd="1"/>
        <i x="299" nd="1"/>
        <i x="269" nd="1"/>
        <i x="117" nd="1"/>
        <i x="239" nd="1"/>
        <i x="361" nd="1"/>
        <i x="57" nd="1"/>
        <i x="26" nd="1"/>
        <i x="208" nd="1"/>
        <i x="178" nd="1"/>
        <i x="86" nd="1"/>
        <i x="147" nd="1"/>
        <i x="331" nd="1"/>
        <i x="300" nd="1"/>
        <i x="270" nd="1"/>
        <i x="118" nd="1"/>
        <i x="240" nd="1"/>
        <i x="362" nd="1"/>
        <i x="58" nd="1"/>
        <i x="27" nd="1"/>
        <i x="209" nd="1"/>
        <i x="179" nd="1"/>
        <i x="87" nd="1"/>
        <i x="148" nd="1"/>
        <i x="332" nd="1"/>
        <i x="301" nd="1"/>
        <i x="271" nd="1"/>
        <i x="119" nd="1"/>
        <i x="241" nd="1"/>
        <i x="363" nd="1"/>
        <i x="59" nd="1"/>
        <i x="28" nd="1"/>
        <i x="210" nd="1"/>
        <i x="180" nd="1"/>
        <i x="88" nd="1"/>
        <i x="149" nd="1"/>
        <i x="333" nd="1"/>
        <i x="302" nd="1"/>
        <i x="272" nd="1"/>
        <i x="120" nd="1"/>
        <i x="242" nd="1"/>
        <i x="364" nd="1"/>
        <i x="60" nd="1"/>
        <i x="29" nd="1"/>
        <i x="211" nd="1"/>
        <i x="181" nd="1"/>
        <i x="89" nd="1"/>
        <i x="150" nd="1"/>
        <i x="334" nd="1"/>
        <i x="303" nd="1"/>
        <i x="273" nd="1"/>
        <i x="93" nd="1"/>
        <i x="215" nd="1"/>
        <i x="337" nd="1"/>
        <i x="33" nd="1"/>
        <i x="2" nd="1"/>
        <i x="184" nd="1"/>
        <i x="154" nd="1"/>
        <i x="62" nd="1"/>
        <i x="123" nd="1"/>
        <i x="307" nd="1"/>
        <i x="276" nd="1"/>
        <i x="246" nd="1"/>
        <i x="121" nd="1"/>
        <i x="243" nd="1"/>
        <i x="365" nd="1"/>
        <i x="30" nd="1"/>
        <i x="212" nd="1"/>
        <i x="182" nd="1"/>
        <i x="90" nd="1"/>
        <i x="151" nd="1"/>
        <i x="335" nd="1"/>
        <i x="304" nd="1"/>
        <i x="274" nd="1"/>
        <i x="244" nd="1"/>
        <i x="366" nd="1"/>
        <i x="31" nd="1"/>
        <i x="213" nd="1"/>
        <i x="91" nd="1"/>
        <i x="152" nd="1"/>
        <i x="305" nd="1"/>
        <i x="94" nd="1"/>
        <i x="216" nd="1"/>
        <i x="338" nd="1"/>
        <i x="34" nd="1"/>
        <i x="185" nd="1"/>
        <i x="155" nd="1"/>
        <i x="63" nd="1"/>
        <i x="124" nd="1"/>
        <i x="308" nd="1"/>
        <i x="277" nd="1"/>
        <i x="247" nd="1"/>
        <i x="95" nd="1"/>
        <i x="217" nd="1"/>
        <i x="339" nd="1"/>
        <i x="35" nd="1"/>
        <i x="4" nd="1"/>
        <i x="186" nd="1"/>
        <i x="156" nd="1"/>
        <i x="64" nd="1"/>
        <i x="125" nd="1"/>
        <i x="309" nd="1"/>
        <i x="278" nd="1"/>
        <i x="248" nd="1"/>
        <i x="96" nd="1"/>
        <i x="218" nd="1"/>
        <i x="340" nd="1"/>
        <i x="36" nd="1"/>
        <i x="5" nd="1"/>
        <i x="187" nd="1"/>
        <i x="157" nd="1"/>
        <i x="65" nd="1"/>
        <i x="126" nd="1"/>
        <i x="310" nd="1"/>
        <i x="279" nd="1"/>
        <i x="249" nd="1"/>
        <i x="97" nd="1"/>
        <i x="219" nd="1"/>
        <i x="341" nd="1"/>
        <i x="37" nd="1"/>
        <i x="6" nd="1"/>
        <i x="188" nd="1"/>
        <i x="158" nd="1"/>
        <i x="66" nd="1"/>
        <i x="127" nd="1"/>
        <i x="311" nd="1"/>
        <i x="280" nd="1"/>
        <i x="250" nd="1"/>
        <i x="98" nd="1"/>
        <i x="220" nd="1"/>
        <i x="342" nd="1"/>
        <i x="38" nd="1"/>
        <i x="7" nd="1"/>
        <i x="189" nd="1"/>
        <i x="159" nd="1"/>
        <i x="67" nd="1"/>
        <i x="128" nd="1"/>
        <i x="312" nd="1"/>
        <i x="281" nd="1"/>
        <i x="251" nd="1"/>
        <i x="99" nd="1"/>
        <i x="221" nd="1"/>
        <i x="343" nd="1"/>
        <i x="39" nd="1"/>
        <i x="8" nd="1"/>
        <i x="190" nd="1"/>
        <i x="160" nd="1"/>
        <i x="68" nd="1"/>
        <i x="129" nd="1"/>
        <i x="313" nd="1"/>
        <i x="282" nd="1"/>
        <i x="252" nd="1"/>
        <i x="100" nd="1"/>
        <i x="222" nd="1"/>
        <i x="344" nd="1"/>
        <i x="40" nd="1"/>
        <i x="9" nd="1"/>
        <i x="191" nd="1"/>
        <i x="161" nd="1"/>
        <i x="69" nd="1"/>
        <i x="130" nd="1"/>
        <i x="314" nd="1"/>
        <i x="283" nd="1"/>
        <i x="253"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Total__USD" sourceName="Total (USD)">
  <pivotTables>
    <pivotTable tabId="4" name="PivotTable2"/>
  </pivotTables>
  <data>
    <tabular pivotCacheId="1">
      <items count="11">
        <i x="0" s="1"/>
        <i x="2" s="1" nd="1"/>
        <i x="1" s="1" nd="1"/>
        <i x="6" s="1" nd="1"/>
        <i x="7" s="1" nd="1"/>
        <i x="4" s="1" nd="1"/>
        <i x="8" s="1" nd="1"/>
        <i x="3" s="1" nd="1"/>
        <i x="10" s="1" nd="1"/>
        <i x="5" s="1" nd="1"/>
        <i x="9"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Order_Quantity" sourceName="Order Quantity">
  <pivotTables>
    <pivotTable tabId="4" name="PivotTable7"/>
  </pivotTables>
  <data>
    <tabular pivotCacheId="2">
      <items count="6">
        <i x="1" s="1"/>
        <i x="0" s="1"/>
        <i x="3" s="1"/>
        <i x="2" s="1"/>
        <i x="4" s="1"/>
        <i x="5"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4" name="PivotTable3"/>
  </pivotTables>
  <data>
    <tabular pivotCacheId="1">
      <items count="14">
        <i x="1"/>
        <i x="2"/>
        <i x="3" s="1" nd="1"/>
        <i x="4" s="1" nd="1"/>
        <i x="5" s="1" nd="1"/>
        <i x="6" s="1" nd="1"/>
        <i x="7" s="1" nd="1"/>
        <i x="8" nd="1"/>
        <i x="9" nd="1"/>
        <i x="10" nd="1"/>
        <i x="11" nd="1"/>
        <i x="12" nd="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 No" cache="Slicer_Order_No" caption="Select Order #" style="SlicerStyleLight3" rowHeight="241300"/>
  <slicer name="Order Date" cache="Slicer_Order_Date" caption="Order Date" style="SlicerStyleLight2" rowHeight="241300"/>
  <slicer name="Tax (USD)" cache="Slicer_Tax__USD" caption="Tax (USD)" style="SlicerStyleOther1" rowHeight="241300"/>
  <slicer name="Net Revenue" cache="Slicer_Net_Revenue" caption="Net Revenue" rowHeight="241300"/>
  <slicer name="Customer Name" cache="Slicer_Customer_Name" caption="Customer Name" style="SlicerStyleLight5" rowHeight="241300"/>
  <slicer name="Retail Price (USD)" cache="Slicer_Retail_Price__USD" caption="Retail Price (USD)" style="SlicerStyleOther2" rowHeight="241300"/>
  <slicer name="Ship Date" cache="Slicer_Ship_Date" caption="Ship Date" style="SlicerStyleDark6" rowHeight="241300"/>
  <slicer name="Total (USD)" cache="Slicer_Total__USD" caption="Total (USD)" style="SlicerStyleDark5" rowHeight="241300"/>
  <slicer name="Order Quantity" cache="Slicer_Order_Quantity" caption="Order Quantity" style="SlicerStyleDark2" rowHeight="241300"/>
  <slicer name="Months" cache="Slicer_Months" caption="Months"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0"/>
  <sheetViews>
    <sheetView workbookViewId="0">
      <selection activeCell="I74" sqref="I74"/>
    </sheetView>
  </sheetViews>
  <sheetFormatPr defaultColWidth="8.875" defaultRowHeight="15"/>
  <cols>
    <col min="1" max="1" width="12.875" style="2" bestFit="1" customWidth="1"/>
    <col min="2" max="2" width="16.5" style="2" customWidth="1"/>
    <col min="3" max="3" width="24.125" style="2" customWidth="1"/>
    <col min="4" max="4" width="13.5" style="2" customWidth="1"/>
    <col min="5" max="5" width="19.5" style="2" customWidth="1"/>
    <col min="6" max="6" width="17.375" style="2" customWidth="1"/>
    <col min="7" max="7" width="11" style="2" customWidth="1"/>
    <col min="8" max="8" width="16.625" style="2" customWidth="1"/>
    <col min="9" max="9" width="13.375" style="2" customWidth="1"/>
    <col min="10" max="16384" width="8.875" style="2"/>
  </cols>
  <sheetData>
    <row r="1" spans="1:9" s="11" customFormat="1" ht="15.75">
      <c r="A1" s="10" t="s">
        <v>3</v>
      </c>
      <c r="B1" s="10" t="s">
        <v>4</v>
      </c>
      <c r="C1" s="10" t="s">
        <v>5</v>
      </c>
      <c r="D1" s="10" t="s">
        <v>6</v>
      </c>
      <c r="E1" s="12" t="s">
        <v>7</v>
      </c>
      <c r="F1" s="10" t="s">
        <v>8</v>
      </c>
      <c r="G1" s="12" t="s">
        <v>9</v>
      </c>
      <c r="H1" s="13" t="s">
        <v>140</v>
      </c>
      <c r="I1" s="13" t="s">
        <v>10</v>
      </c>
    </row>
    <row r="2" spans="1:9">
      <c r="A2" s="7" t="s">
        <v>11</v>
      </c>
      <c r="B2" s="8">
        <v>45292</v>
      </c>
      <c r="C2" s="7" t="s">
        <v>12</v>
      </c>
      <c r="D2" s="8">
        <v>45294</v>
      </c>
      <c r="E2" s="14">
        <v>49.99</v>
      </c>
      <c r="F2" s="7">
        <v>2</v>
      </c>
      <c r="G2" s="14">
        <f t="shared" ref="G2:G33" si="0">E2*0.1</f>
        <v>4.9990000000000006</v>
      </c>
      <c r="H2" s="14">
        <f>I2-G2</f>
        <v>49.99</v>
      </c>
      <c r="I2" s="14">
        <f t="shared" ref="I2:I33" si="1">E2+G2</f>
        <v>54.989000000000004</v>
      </c>
    </row>
    <row r="3" spans="1:9">
      <c r="A3" s="7" t="s">
        <v>13</v>
      </c>
      <c r="B3" s="8">
        <v>45292</v>
      </c>
      <c r="C3" s="7" t="s">
        <v>14</v>
      </c>
      <c r="D3" s="8">
        <v>45295</v>
      </c>
      <c r="E3" s="14">
        <v>29.99</v>
      </c>
      <c r="F3" s="7">
        <v>1</v>
      </c>
      <c r="G3" s="14">
        <f t="shared" si="0"/>
        <v>2.9990000000000001</v>
      </c>
      <c r="H3" s="14">
        <f t="shared" ref="H3:H66" si="2">I3-G3</f>
        <v>29.99</v>
      </c>
      <c r="I3" s="14">
        <f t="shared" si="1"/>
        <v>32.988999999999997</v>
      </c>
    </row>
    <row r="4" spans="1:9">
      <c r="A4" s="7" t="s">
        <v>17</v>
      </c>
      <c r="B4" s="8">
        <v>45293</v>
      </c>
      <c r="C4" s="7" t="s">
        <v>18</v>
      </c>
      <c r="D4" s="8">
        <v>45294</v>
      </c>
      <c r="E4" s="14">
        <v>19.989999999999998</v>
      </c>
      <c r="F4" s="7">
        <v>4</v>
      </c>
      <c r="G4" s="14">
        <f t="shared" si="0"/>
        <v>1.9989999999999999</v>
      </c>
      <c r="H4" s="14">
        <f t="shared" si="2"/>
        <v>19.989999999999998</v>
      </c>
      <c r="I4" s="14">
        <f t="shared" si="1"/>
        <v>21.988999999999997</v>
      </c>
    </row>
    <row r="5" spans="1:9">
      <c r="A5" s="7" t="s">
        <v>15</v>
      </c>
      <c r="B5" s="8">
        <v>45293</v>
      </c>
      <c r="C5" s="7" t="s">
        <v>16</v>
      </c>
      <c r="D5" s="8">
        <v>45298</v>
      </c>
      <c r="E5" s="14">
        <v>99.99</v>
      </c>
      <c r="F5" s="7">
        <v>3</v>
      </c>
      <c r="G5" s="14">
        <f t="shared" si="0"/>
        <v>9.9990000000000006</v>
      </c>
      <c r="H5" s="14">
        <f t="shared" si="2"/>
        <v>99.99</v>
      </c>
      <c r="I5" s="14">
        <f t="shared" si="1"/>
        <v>109.98899999999999</v>
      </c>
    </row>
    <row r="6" spans="1:9">
      <c r="A6" s="7" t="s">
        <v>21</v>
      </c>
      <c r="B6" s="8">
        <v>45294</v>
      </c>
      <c r="C6" s="7" t="s">
        <v>22</v>
      </c>
      <c r="D6" s="8">
        <v>45297</v>
      </c>
      <c r="E6" s="14">
        <v>79.989999999999995</v>
      </c>
      <c r="F6" s="7">
        <v>2</v>
      </c>
      <c r="G6" s="14">
        <f t="shared" si="0"/>
        <v>7.9989999999999997</v>
      </c>
      <c r="H6" s="14">
        <f t="shared" si="2"/>
        <v>79.989999999999995</v>
      </c>
      <c r="I6" s="14">
        <f t="shared" si="1"/>
        <v>87.98899999999999</v>
      </c>
    </row>
    <row r="7" spans="1:9">
      <c r="A7" s="7" t="s">
        <v>19</v>
      </c>
      <c r="B7" s="8">
        <v>45294</v>
      </c>
      <c r="C7" s="7" t="s">
        <v>20</v>
      </c>
      <c r="D7" s="8">
        <v>45299</v>
      </c>
      <c r="E7" s="14">
        <v>149.99</v>
      </c>
      <c r="F7" s="7">
        <v>1</v>
      </c>
      <c r="G7" s="14">
        <f t="shared" si="0"/>
        <v>14.999000000000002</v>
      </c>
      <c r="H7" s="14">
        <f t="shared" si="2"/>
        <v>149.99</v>
      </c>
      <c r="I7" s="14">
        <f t="shared" si="1"/>
        <v>164.989</v>
      </c>
    </row>
    <row r="8" spans="1:9">
      <c r="A8" s="7" t="s">
        <v>23</v>
      </c>
      <c r="B8" s="8">
        <v>45295</v>
      </c>
      <c r="C8" s="7" t="s">
        <v>24</v>
      </c>
      <c r="D8" s="8">
        <v>45297</v>
      </c>
      <c r="E8" s="14">
        <v>39.99</v>
      </c>
      <c r="F8" s="7">
        <v>3</v>
      </c>
      <c r="G8" s="14">
        <f t="shared" si="0"/>
        <v>3.9990000000000006</v>
      </c>
      <c r="H8" s="14">
        <f t="shared" si="2"/>
        <v>39.99</v>
      </c>
      <c r="I8" s="14">
        <f t="shared" si="1"/>
        <v>43.989000000000004</v>
      </c>
    </row>
    <row r="9" spans="1:9">
      <c r="A9" s="7" t="s">
        <v>25</v>
      </c>
      <c r="B9" s="8">
        <v>45295</v>
      </c>
      <c r="C9" s="7" t="s">
        <v>26</v>
      </c>
      <c r="D9" s="8">
        <v>45300</v>
      </c>
      <c r="E9" s="14">
        <v>69.989999999999995</v>
      </c>
      <c r="F9" s="7">
        <v>2</v>
      </c>
      <c r="G9" s="14">
        <f t="shared" si="0"/>
        <v>6.9989999999999997</v>
      </c>
      <c r="H9" s="14">
        <f t="shared" si="2"/>
        <v>69.989999999999995</v>
      </c>
      <c r="I9" s="14">
        <f t="shared" si="1"/>
        <v>76.98899999999999</v>
      </c>
    </row>
    <row r="10" spans="1:9">
      <c r="A10" s="7" t="s">
        <v>27</v>
      </c>
      <c r="B10" s="8">
        <v>45296</v>
      </c>
      <c r="C10" s="7" t="s">
        <v>28</v>
      </c>
      <c r="D10" s="8">
        <v>45297</v>
      </c>
      <c r="E10" s="14">
        <v>89.99</v>
      </c>
      <c r="F10" s="7">
        <v>1</v>
      </c>
      <c r="G10" s="14">
        <f t="shared" si="0"/>
        <v>8.9990000000000006</v>
      </c>
      <c r="H10" s="14">
        <f t="shared" si="2"/>
        <v>89.99</v>
      </c>
      <c r="I10" s="14">
        <f t="shared" si="1"/>
        <v>98.98899999999999</v>
      </c>
    </row>
    <row r="11" spans="1:9">
      <c r="A11" s="7" t="s">
        <v>29</v>
      </c>
      <c r="B11" s="8">
        <v>45296</v>
      </c>
      <c r="C11" s="7" t="s">
        <v>30</v>
      </c>
      <c r="D11" s="8">
        <v>45299</v>
      </c>
      <c r="E11" s="14">
        <v>199.99</v>
      </c>
      <c r="F11" s="7">
        <v>1</v>
      </c>
      <c r="G11" s="14">
        <f t="shared" si="0"/>
        <v>19.999000000000002</v>
      </c>
      <c r="H11" s="14">
        <f t="shared" si="2"/>
        <v>199.99</v>
      </c>
      <c r="I11" s="14">
        <f t="shared" si="1"/>
        <v>219.989</v>
      </c>
    </row>
    <row r="12" spans="1:9">
      <c r="A12" s="7" t="s">
        <v>31</v>
      </c>
      <c r="B12" s="8">
        <v>45297</v>
      </c>
      <c r="C12" s="7" t="s">
        <v>32</v>
      </c>
      <c r="D12" s="8">
        <v>45298</v>
      </c>
      <c r="E12" s="14">
        <v>29.99</v>
      </c>
      <c r="F12" s="7">
        <v>5</v>
      </c>
      <c r="G12" s="14">
        <f t="shared" si="0"/>
        <v>2.9990000000000001</v>
      </c>
      <c r="H12" s="14">
        <f t="shared" si="2"/>
        <v>29.99</v>
      </c>
      <c r="I12" s="14">
        <f t="shared" si="1"/>
        <v>32.988999999999997</v>
      </c>
    </row>
    <row r="13" spans="1:9">
      <c r="A13" s="7" t="s">
        <v>33</v>
      </c>
      <c r="B13" s="8">
        <v>45297</v>
      </c>
      <c r="C13" s="7" t="s">
        <v>34</v>
      </c>
      <c r="D13" s="8">
        <v>45299</v>
      </c>
      <c r="E13" s="14">
        <v>79.989999999999995</v>
      </c>
      <c r="F13" s="7">
        <v>2</v>
      </c>
      <c r="G13" s="14">
        <f t="shared" si="0"/>
        <v>7.9989999999999997</v>
      </c>
      <c r="H13" s="14">
        <f t="shared" si="2"/>
        <v>79.989999999999995</v>
      </c>
      <c r="I13" s="14">
        <f t="shared" si="1"/>
        <v>87.98899999999999</v>
      </c>
    </row>
    <row r="14" spans="1:9">
      <c r="A14" s="7" t="s">
        <v>35</v>
      </c>
      <c r="B14" s="8">
        <v>45298</v>
      </c>
      <c r="C14" s="7" t="s">
        <v>36</v>
      </c>
      <c r="D14" s="8">
        <v>45300</v>
      </c>
      <c r="E14" s="14">
        <v>49.99</v>
      </c>
      <c r="F14" s="7">
        <v>3</v>
      </c>
      <c r="G14" s="14">
        <f t="shared" si="0"/>
        <v>4.9990000000000006</v>
      </c>
      <c r="H14" s="14">
        <f t="shared" si="2"/>
        <v>49.99</v>
      </c>
      <c r="I14" s="14">
        <f t="shared" si="1"/>
        <v>54.989000000000004</v>
      </c>
    </row>
    <row r="15" spans="1:9">
      <c r="A15" s="7" t="s">
        <v>37</v>
      </c>
      <c r="B15" s="8">
        <v>45298</v>
      </c>
      <c r="C15" s="7" t="s">
        <v>38</v>
      </c>
      <c r="D15" s="8">
        <v>45303</v>
      </c>
      <c r="E15" s="14">
        <v>129.99</v>
      </c>
      <c r="F15" s="7">
        <v>1</v>
      </c>
      <c r="G15" s="14">
        <f t="shared" si="0"/>
        <v>12.999000000000002</v>
      </c>
      <c r="H15" s="14">
        <f t="shared" si="2"/>
        <v>129.99</v>
      </c>
      <c r="I15" s="14">
        <f t="shared" si="1"/>
        <v>142.989</v>
      </c>
    </row>
    <row r="16" spans="1:9">
      <c r="A16" s="7" t="s">
        <v>41</v>
      </c>
      <c r="B16" s="8">
        <v>45299</v>
      </c>
      <c r="C16" s="7" t="s">
        <v>42</v>
      </c>
      <c r="D16" s="8">
        <v>45303</v>
      </c>
      <c r="E16" s="14">
        <v>149.99</v>
      </c>
      <c r="F16" s="7">
        <v>1</v>
      </c>
      <c r="G16" s="14">
        <f t="shared" si="0"/>
        <v>14.999000000000002</v>
      </c>
      <c r="H16" s="14">
        <f t="shared" si="2"/>
        <v>149.99</v>
      </c>
      <c r="I16" s="14">
        <f t="shared" si="1"/>
        <v>164.989</v>
      </c>
    </row>
    <row r="17" spans="1:9">
      <c r="A17" s="7" t="s">
        <v>39</v>
      </c>
      <c r="B17" s="8">
        <v>45299</v>
      </c>
      <c r="C17" s="7" t="s">
        <v>40</v>
      </c>
      <c r="D17" s="8">
        <v>45304</v>
      </c>
      <c r="E17" s="14">
        <v>19.989999999999998</v>
      </c>
      <c r="F17" s="7">
        <v>4</v>
      </c>
      <c r="G17" s="14">
        <f t="shared" si="0"/>
        <v>1.9989999999999999</v>
      </c>
      <c r="H17" s="14">
        <f t="shared" si="2"/>
        <v>19.989999999999998</v>
      </c>
      <c r="I17" s="14">
        <f t="shared" si="1"/>
        <v>21.988999999999997</v>
      </c>
    </row>
    <row r="18" spans="1:9">
      <c r="A18" s="7" t="s">
        <v>45</v>
      </c>
      <c r="B18" s="8">
        <v>45300</v>
      </c>
      <c r="C18" s="7" t="s">
        <v>46</v>
      </c>
      <c r="D18" s="8">
        <v>45303</v>
      </c>
      <c r="E18" s="14">
        <v>39.99</v>
      </c>
      <c r="F18" s="7">
        <v>3</v>
      </c>
      <c r="G18" s="14">
        <f t="shared" si="0"/>
        <v>3.9990000000000006</v>
      </c>
      <c r="H18" s="14">
        <f t="shared" si="2"/>
        <v>39.99</v>
      </c>
      <c r="I18" s="14">
        <f t="shared" si="1"/>
        <v>43.989000000000004</v>
      </c>
    </row>
    <row r="19" spans="1:9">
      <c r="A19" s="7" t="s">
        <v>43</v>
      </c>
      <c r="B19" s="8">
        <v>45300</v>
      </c>
      <c r="C19" s="7" t="s">
        <v>44</v>
      </c>
      <c r="D19" s="8">
        <v>45305</v>
      </c>
      <c r="E19" s="14">
        <v>69.989999999999995</v>
      </c>
      <c r="F19" s="7">
        <v>2</v>
      </c>
      <c r="G19" s="14">
        <f t="shared" si="0"/>
        <v>6.9989999999999997</v>
      </c>
      <c r="H19" s="14">
        <f t="shared" si="2"/>
        <v>69.989999999999995</v>
      </c>
      <c r="I19" s="14">
        <f t="shared" si="1"/>
        <v>76.98899999999999</v>
      </c>
    </row>
    <row r="20" spans="1:9">
      <c r="A20" s="7" t="s">
        <v>47</v>
      </c>
      <c r="B20" s="8">
        <v>45301</v>
      </c>
      <c r="C20" s="7" t="s">
        <v>48</v>
      </c>
      <c r="D20" s="8">
        <v>45302</v>
      </c>
      <c r="E20" s="14">
        <v>199.99</v>
      </c>
      <c r="F20" s="7">
        <v>1</v>
      </c>
      <c r="G20" s="14">
        <f t="shared" si="0"/>
        <v>19.999000000000002</v>
      </c>
      <c r="H20" s="14">
        <f t="shared" si="2"/>
        <v>199.99</v>
      </c>
      <c r="I20" s="14">
        <f t="shared" si="1"/>
        <v>219.989</v>
      </c>
    </row>
    <row r="21" spans="1:9">
      <c r="A21" s="7" t="s">
        <v>49</v>
      </c>
      <c r="B21" s="8">
        <v>45301</v>
      </c>
      <c r="C21" s="7" t="s">
        <v>50</v>
      </c>
      <c r="D21" s="8">
        <v>45305</v>
      </c>
      <c r="E21" s="14">
        <v>29.99</v>
      </c>
      <c r="F21" s="7">
        <v>5</v>
      </c>
      <c r="G21" s="14">
        <f t="shared" si="0"/>
        <v>2.9990000000000001</v>
      </c>
      <c r="H21" s="14">
        <f t="shared" si="2"/>
        <v>29.99</v>
      </c>
      <c r="I21" s="14">
        <f t="shared" si="1"/>
        <v>32.988999999999997</v>
      </c>
    </row>
    <row r="22" spans="1:9">
      <c r="A22" s="7" t="s">
        <v>51</v>
      </c>
      <c r="B22" s="8">
        <v>45302</v>
      </c>
      <c r="C22" s="7" t="s">
        <v>52</v>
      </c>
      <c r="D22" s="8">
        <v>45305</v>
      </c>
      <c r="E22" s="14">
        <v>79.989999999999995</v>
      </c>
      <c r="F22" s="7">
        <v>2</v>
      </c>
      <c r="G22" s="14">
        <f t="shared" si="0"/>
        <v>7.9989999999999997</v>
      </c>
      <c r="H22" s="14">
        <f t="shared" si="2"/>
        <v>79.989999999999995</v>
      </c>
      <c r="I22" s="14">
        <f t="shared" si="1"/>
        <v>87.98899999999999</v>
      </c>
    </row>
    <row r="23" spans="1:9">
      <c r="A23" s="7" t="s">
        <v>53</v>
      </c>
      <c r="B23" s="8">
        <v>45302</v>
      </c>
      <c r="C23" s="7" t="s">
        <v>54</v>
      </c>
      <c r="D23" s="8">
        <v>45306</v>
      </c>
      <c r="E23" s="14">
        <v>49.99</v>
      </c>
      <c r="F23" s="7">
        <v>3</v>
      </c>
      <c r="G23" s="14">
        <f t="shared" si="0"/>
        <v>4.9990000000000006</v>
      </c>
      <c r="H23" s="14">
        <f t="shared" si="2"/>
        <v>49.99</v>
      </c>
      <c r="I23" s="14">
        <f t="shared" si="1"/>
        <v>54.989000000000004</v>
      </c>
    </row>
    <row r="24" spans="1:9">
      <c r="A24" s="7" t="s">
        <v>55</v>
      </c>
      <c r="B24" s="8">
        <v>45303</v>
      </c>
      <c r="C24" s="7" t="s">
        <v>56</v>
      </c>
      <c r="D24" s="8">
        <v>45308</v>
      </c>
      <c r="E24" s="14">
        <v>129.99</v>
      </c>
      <c r="F24" s="7">
        <v>1</v>
      </c>
      <c r="G24" s="14">
        <f t="shared" si="0"/>
        <v>12.999000000000002</v>
      </c>
      <c r="H24" s="14">
        <f t="shared" si="2"/>
        <v>129.99</v>
      </c>
      <c r="I24" s="14">
        <f t="shared" si="1"/>
        <v>142.989</v>
      </c>
    </row>
    <row r="25" spans="1:9">
      <c r="A25" s="7" t="s">
        <v>57</v>
      </c>
      <c r="B25" s="8">
        <v>45303</v>
      </c>
      <c r="C25" s="7" t="s">
        <v>58</v>
      </c>
      <c r="D25" s="8">
        <v>45308</v>
      </c>
      <c r="E25" s="14">
        <v>19.989999999999998</v>
      </c>
      <c r="F25" s="7">
        <v>4</v>
      </c>
      <c r="G25" s="14">
        <f t="shared" si="0"/>
        <v>1.9989999999999999</v>
      </c>
      <c r="H25" s="14">
        <f t="shared" si="2"/>
        <v>19.989999999999998</v>
      </c>
      <c r="I25" s="14">
        <f t="shared" si="1"/>
        <v>21.988999999999997</v>
      </c>
    </row>
    <row r="26" spans="1:9">
      <c r="A26" s="7" t="s">
        <v>60</v>
      </c>
      <c r="B26" s="8">
        <v>45304</v>
      </c>
      <c r="C26" s="7" t="s">
        <v>61</v>
      </c>
      <c r="D26" s="8">
        <v>45305</v>
      </c>
      <c r="E26" s="14">
        <v>69.989999999999995</v>
      </c>
      <c r="F26" s="7">
        <v>2</v>
      </c>
      <c r="G26" s="14">
        <f t="shared" si="0"/>
        <v>6.9989999999999997</v>
      </c>
      <c r="H26" s="14">
        <f t="shared" si="2"/>
        <v>69.989999999999995</v>
      </c>
      <c r="I26" s="14">
        <f t="shared" si="1"/>
        <v>76.98899999999999</v>
      </c>
    </row>
    <row r="27" spans="1:9">
      <c r="A27" s="7" t="s">
        <v>59</v>
      </c>
      <c r="B27" s="8">
        <v>45304</v>
      </c>
      <c r="C27" s="7" t="s">
        <v>20</v>
      </c>
      <c r="D27" s="8">
        <v>45308</v>
      </c>
      <c r="E27" s="14">
        <v>149.99</v>
      </c>
      <c r="F27" s="7">
        <v>1</v>
      </c>
      <c r="G27" s="14">
        <f t="shared" si="0"/>
        <v>14.999000000000002</v>
      </c>
      <c r="H27" s="14">
        <f t="shared" si="2"/>
        <v>149.99</v>
      </c>
      <c r="I27" s="14">
        <f t="shared" si="1"/>
        <v>164.989</v>
      </c>
    </row>
    <row r="28" spans="1:9">
      <c r="A28" s="7" t="s">
        <v>62</v>
      </c>
      <c r="B28" s="8">
        <v>45305</v>
      </c>
      <c r="C28" s="7" t="s">
        <v>63</v>
      </c>
      <c r="D28" s="8">
        <v>45309</v>
      </c>
      <c r="E28" s="14">
        <v>39.99</v>
      </c>
      <c r="F28" s="7">
        <v>3</v>
      </c>
      <c r="G28" s="14">
        <f t="shared" si="0"/>
        <v>3.9990000000000006</v>
      </c>
      <c r="H28" s="14">
        <f t="shared" si="2"/>
        <v>39.99</v>
      </c>
      <c r="I28" s="14">
        <f t="shared" si="1"/>
        <v>43.989000000000004</v>
      </c>
    </row>
    <row r="29" spans="1:9">
      <c r="A29" s="7" t="s">
        <v>64</v>
      </c>
      <c r="B29" s="8">
        <v>45305</v>
      </c>
      <c r="C29" s="7" t="s">
        <v>65</v>
      </c>
      <c r="D29" s="8">
        <v>45310</v>
      </c>
      <c r="E29" s="14">
        <v>199.99</v>
      </c>
      <c r="F29" s="7">
        <v>1</v>
      </c>
      <c r="G29" s="14">
        <f t="shared" si="0"/>
        <v>19.999000000000002</v>
      </c>
      <c r="H29" s="14">
        <f t="shared" si="2"/>
        <v>199.99</v>
      </c>
      <c r="I29" s="14">
        <f t="shared" si="1"/>
        <v>219.989</v>
      </c>
    </row>
    <row r="30" spans="1:9">
      <c r="A30" s="7" t="s">
        <v>66</v>
      </c>
      <c r="B30" s="8">
        <v>45306</v>
      </c>
      <c r="C30" s="7" t="s">
        <v>67</v>
      </c>
      <c r="D30" s="8">
        <v>45310</v>
      </c>
      <c r="E30" s="14">
        <v>29.99</v>
      </c>
      <c r="F30" s="7">
        <v>5</v>
      </c>
      <c r="G30" s="14">
        <f t="shared" si="0"/>
        <v>2.9990000000000001</v>
      </c>
      <c r="H30" s="14">
        <f t="shared" si="2"/>
        <v>29.99</v>
      </c>
      <c r="I30" s="14">
        <f t="shared" si="1"/>
        <v>32.988999999999997</v>
      </c>
    </row>
    <row r="31" spans="1:9">
      <c r="A31" s="7" t="s">
        <v>68</v>
      </c>
      <c r="B31" s="8">
        <v>45306</v>
      </c>
      <c r="C31" s="7" t="s">
        <v>69</v>
      </c>
      <c r="D31" s="8">
        <v>45310</v>
      </c>
      <c r="E31" s="14">
        <v>79.989999999999995</v>
      </c>
      <c r="F31" s="7">
        <v>2</v>
      </c>
      <c r="G31" s="14">
        <f t="shared" si="0"/>
        <v>7.9989999999999997</v>
      </c>
      <c r="H31" s="14">
        <f t="shared" si="2"/>
        <v>79.989999999999995</v>
      </c>
      <c r="I31" s="14">
        <f t="shared" si="1"/>
        <v>87.98899999999999</v>
      </c>
    </row>
    <row r="32" spans="1:9">
      <c r="A32" s="7" t="s">
        <v>72</v>
      </c>
      <c r="B32" s="8">
        <v>45307</v>
      </c>
      <c r="C32" s="7" t="s">
        <v>73</v>
      </c>
      <c r="D32" s="8">
        <v>45308</v>
      </c>
      <c r="E32" s="14">
        <v>129.99</v>
      </c>
      <c r="F32" s="7">
        <v>1</v>
      </c>
      <c r="G32" s="14">
        <f t="shared" si="0"/>
        <v>12.999000000000002</v>
      </c>
      <c r="H32" s="14">
        <f t="shared" si="2"/>
        <v>129.99</v>
      </c>
      <c r="I32" s="14">
        <f t="shared" si="1"/>
        <v>142.989</v>
      </c>
    </row>
    <row r="33" spans="1:9">
      <c r="A33" s="7" t="s">
        <v>70</v>
      </c>
      <c r="B33" s="8">
        <v>45307</v>
      </c>
      <c r="C33" s="7" t="s">
        <v>71</v>
      </c>
      <c r="D33" s="8">
        <v>45310</v>
      </c>
      <c r="E33" s="14">
        <v>49.99</v>
      </c>
      <c r="F33" s="7">
        <v>3</v>
      </c>
      <c r="G33" s="14">
        <f t="shared" si="0"/>
        <v>4.9990000000000006</v>
      </c>
      <c r="H33" s="14">
        <f t="shared" si="2"/>
        <v>49.99</v>
      </c>
      <c r="I33" s="14">
        <f t="shared" si="1"/>
        <v>54.989000000000004</v>
      </c>
    </row>
    <row r="34" spans="1:9">
      <c r="A34" s="7" t="s">
        <v>74</v>
      </c>
      <c r="B34" s="8">
        <v>45308</v>
      </c>
      <c r="C34" s="7" t="s">
        <v>75</v>
      </c>
      <c r="D34" s="8">
        <v>45310</v>
      </c>
      <c r="E34" s="14">
        <v>19.989999999999998</v>
      </c>
      <c r="F34" s="7">
        <v>4</v>
      </c>
      <c r="G34" s="14">
        <f t="shared" ref="G34:G65" si="3">E34*0.1</f>
        <v>1.9989999999999999</v>
      </c>
      <c r="H34" s="14">
        <f t="shared" si="2"/>
        <v>19.989999999999998</v>
      </c>
      <c r="I34" s="14">
        <f t="shared" ref="I34:I65" si="4">E34+G34</f>
        <v>21.988999999999997</v>
      </c>
    </row>
    <row r="35" spans="1:9">
      <c r="A35" s="7" t="s">
        <v>76</v>
      </c>
      <c r="B35" s="8">
        <v>45308</v>
      </c>
      <c r="C35" s="7" t="s">
        <v>77</v>
      </c>
      <c r="D35" s="8">
        <v>45310</v>
      </c>
      <c r="E35" s="14">
        <v>149.99</v>
      </c>
      <c r="F35" s="7">
        <v>1</v>
      </c>
      <c r="G35" s="14">
        <f t="shared" si="3"/>
        <v>14.999000000000002</v>
      </c>
      <c r="H35" s="14">
        <f t="shared" si="2"/>
        <v>149.99</v>
      </c>
      <c r="I35" s="14">
        <f t="shared" si="4"/>
        <v>164.989</v>
      </c>
    </row>
    <row r="36" spans="1:9">
      <c r="A36" s="7" t="s">
        <v>80</v>
      </c>
      <c r="B36" s="8">
        <v>45309</v>
      </c>
      <c r="C36" s="7" t="s">
        <v>81</v>
      </c>
      <c r="D36" s="8">
        <v>45310</v>
      </c>
      <c r="E36" s="14">
        <v>39.99</v>
      </c>
      <c r="F36" s="7">
        <v>3</v>
      </c>
      <c r="G36" s="14">
        <f t="shared" si="3"/>
        <v>3.9990000000000006</v>
      </c>
      <c r="H36" s="14">
        <f t="shared" si="2"/>
        <v>39.99</v>
      </c>
      <c r="I36" s="14">
        <f t="shared" si="4"/>
        <v>43.989000000000004</v>
      </c>
    </row>
    <row r="37" spans="1:9">
      <c r="A37" s="7" t="s">
        <v>78</v>
      </c>
      <c r="B37" s="8">
        <v>45309</v>
      </c>
      <c r="C37" s="7" t="s">
        <v>79</v>
      </c>
      <c r="D37" s="8">
        <v>45314</v>
      </c>
      <c r="E37" s="14">
        <v>69.989999999999995</v>
      </c>
      <c r="F37" s="7">
        <v>2</v>
      </c>
      <c r="G37" s="14">
        <f t="shared" si="3"/>
        <v>6.9989999999999997</v>
      </c>
      <c r="H37" s="14">
        <f t="shared" si="2"/>
        <v>69.989999999999995</v>
      </c>
      <c r="I37" s="14">
        <f t="shared" si="4"/>
        <v>76.98899999999999</v>
      </c>
    </row>
    <row r="38" spans="1:9">
      <c r="A38" s="7" t="s">
        <v>82</v>
      </c>
      <c r="B38" s="8">
        <v>45310</v>
      </c>
      <c r="C38" s="7" t="s">
        <v>83</v>
      </c>
      <c r="D38" s="8">
        <v>45311</v>
      </c>
      <c r="E38" s="14">
        <v>199.99</v>
      </c>
      <c r="F38" s="7">
        <v>1</v>
      </c>
      <c r="G38" s="14">
        <f t="shared" si="3"/>
        <v>19.999000000000002</v>
      </c>
      <c r="H38" s="14">
        <f t="shared" si="2"/>
        <v>199.99</v>
      </c>
      <c r="I38" s="14">
        <f t="shared" si="4"/>
        <v>219.989</v>
      </c>
    </row>
    <row r="39" spans="1:9">
      <c r="A39" s="7" t="s">
        <v>84</v>
      </c>
      <c r="B39" s="8">
        <v>45310</v>
      </c>
      <c r="C39" s="7" t="s">
        <v>85</v>
      </c>
      <c r="D39" s="8">
        <v>45313</v>
      </c>
      <c r="E39" s="14">
        <v>29.99</v>
      </c>
      <c r="F39" s="7">
        <v>5</v>
      </c>
      <c r="G39" s="14">
        <f t="shared" si="3"/>
        <v>2.9990000000000001</v>
      </c>
      <c r="H39" s="14">
        <f t="shared" si="2"/>
        <v>29.99</v>
      </c>
      <c r="I39" s="14">
        <f t="shared" si="4"/>
        <v>32.988999999999997</v>
      </c>
    </row>
    <row r="40" spans="1:9">
      <c r="A40" s="7" t="s">
        <v>87</v>
      </c>
      <c r="B40" s="8">
        <v>45311</v>
      </c>
      <c r="C40" s="7" t="s">
        <v>58</v>
      </c>
      <c r="D40" s="8">
        <v>45312</v>
      </c>
      <c r="E40" s="14">
        <v>49.99</v>
      </c>
      <c r="F40" s="7">
        <v>3</v>
      </c>
      <c r="G40" s="14">
        <f t="shared" si="3"/>
        <v>4.9990000000000006</v>
      </c>
      <c r="H40" s="14">
        <f t="shared" si="2"/>
        <v>49.99</v>
      </c>
      <c r="I40" s="14">
        <f t="shared" si="4"/>
        <v>54.989000000000004</v>
      </c>
    </row>
    <row r="41" spans="1:9">
      <c r="A41" s="7" t="s">
        <v>86</v>
      </c>
      <c r="B41" s="8">
        <v>45311</v>
      </c>
      <c r="C41" s="7" t="s">
        <v>16</v>
      </c>
      <c r="D41" s="8">
        <v>45315</v>
      </c>
      <c r="E41" s="14">
        <v>79.989999999999995</v>
      </c>
      <c r="F41" s="7">
        <v>2</v>
      </c>
      <c r="G41" s="14">
        <f t="shared" si="3"/>
        <v>7.9989999999999997</v>
      </c>
      <c r="H41" s="14">
        <f t="shared" si="2"/>
        <v>79.989999999999995</v>
      </c>
      <c r="I41" s="14">
        <f t="shared" si="4"/>
        <v>87.98899999999999</v>
      </c>
    </row>
    <row r="42" spans="1:9">
      <c r="A42" s="7" t="s">
        <v>89</v>
      </c>
      <c r="B42" s="8">
        <v>45312</v>
      </c>
      <c r="C42" s="7" t="s">
        <v>90</v>
      </c>
      <c r="D42" s="8">
        <v>45314</v>
      </c>
      <c r="E42" s="14">
        <v>19.989999999999998</v>
      </c>
      <c r="F42" s="7">
        <v>4</v>
      </c>
      <c r="G42" s="14">
        <f t="shared" si="3"/>
        <v>1.9989999999999999</v>
      </c>
      <c r="H42" s="14">
        <f t="shared" si="2"/>
        <v>19.989999999999998</v>
      </c>
      <c r="I42" s="14">
        <f t="shared" si="4"/>
        <v>21.988999999999997</v>
      </c>
    </row>
    <row r="43" spans="1:9">
      <c r="A43" s="7" t="s">
        <v>88</v>
      </c>
      <c r="B43" s="8">
        <v>45312</v>
      </c>
      <c r="C43" s="7" t="s">
        <v>20</v>
      </c>
      <c r="D43" s="8">
        <v>45317</v>
      </c>
      <c r="E43" s="14">
        <v>129.99</v>
      </c>
      <c r="F43" s="7">
        <v>1</v>
      </c>
      <c r="G43" s="14">
        <f t="shared" si="3"/>
        <v>12.999000000000002</v>
      </c>
      <c r="H43" s="14">
        <f t="shared" si="2"/>
        <v>129.99</v>
      </c>
      <c r="I43" s="14">
        <f t="shared" si="4"/>
        <v>142.989</v>
      </c>
    </row>
    <row r="44" spans="1:9">
      <c r="A44" s="7" t="s">
        <v>93</v>
      </c>
      <c r="B44" s="8">
        <v>45313</v>
      </c>
      <c r="C44" s="7" t="s">
        <v>18</v>
      </c>
      <c r="D44" s="8">
        <v>45316</v>
      </c>
      <c r="E44" s="14">
        <v>69.989999999999995</v>
      </c>
      <c r="F44" s="7">
        <v>2</v>
      </c>
      <c r="G44" s="14">
        <f t="shared" si="3"/>
        <v>6.9989999999999997</v>
      </c>
      <c r="H44" s="14">
        <f t="shared" si="2"/>
        <v>69.989999999999995</v>
      </c>
      <c r="I44" s="14">
        <f t="shared" si="4"/>
        <v>76.98899999999999</v>
      </c>
    </row>
    <row r="45" spans="1:9">
      <c r="A45" s="7" t="s">
        <v>91</v>
      </c>
      <c r="B45" s="8">
        <v>45313</v>
      </c>
      <c r="C45" s="7" t="s">
        <v>92</v>
      </c>
      <c r="D45" s="8">
        <v>45316</v>
      </c>
      <c r="E45" s="14">
        <v>149.99</v>
      </c>
      <c r="F45" s="7">
        <v>1</v>
      </c>
      <c r="G45" s="14">
        <f t="shared" si="3"/>
        <v>14.999000000000002</v>
      </c>
      <c r="H45" s="14">
        <f t="shared" si="2"/>
        <v>149.99</v>
      </c>
      <c r="I45" s="14">
        <f t="shared" si="4"/>
        <v>164.989</v>
      </c>
    </row>
    <row r="46" spans="1:9">
      <c r="A46" s="7" t="s">
        <v>96</v>
      </c>
      <c r="B46" s="8">
        <v>45314</v>
      </c>
      <c r="C46" s="7" t="s">
        <v>50</v>
      </c>
      <c r="D46" s="8">
        <v>45317</v>
      </c>
      <c r="E46" s="14">
        <v>199.99</v>
      </c>
      <c r="F46" s="7">
        <v>1</v>
      </c>
      <c r="G46" s="14">
        <f t="shared" si="3"/>
        <v>19.999000000000002</v>
      </c>
      <c r="H46" s="14">
        <f t="shared" si="2"/>
        <v>199.99</v>
      </c>
      <c r="I46" s="14">
        <f t="shared" si="4"/>
        <v>219.989</v>
      </c>
    </row>
    <row r="47" spans="1:9">
      <c r="A47" s="7" t="s">
        <v>94</v>
      </c>
      <c r="B47" s="8">
        <v>45314</v>
      </c>
      <c r="C47" s="7" t="s">
        <v>95</v>
      </c>
      <c r="D47" s="8">
        <v>45318</v>
      </c>
      <c r="E47" s="14">
        <v>39.99</v>
      </c>
      <c r="F47" s="7">
        <v>3</v>
      </c>
      <c r="G47" s="14">
        <f t="shared" si="3"/>
        <v>3.9990000000000006</v>
      </c>
      <c r="H47" s="14">
        <f t="shared" si="2"/>
        <v>39.99</v>
      </c>
      <c r="I47" s="14">
        <f t="shared" si="4"/>
        <v>43.989000000000004</v>
      </c>
    </row>
    <row r="48" spans="1:9">
      <c r="A48" s="7" t="s">
        <v>97</v>
      </c>
      <c r="B48" s="8">
        <v>45315</v>
      </c>
      <c r="C48" s="7" t="s">
        <v>98</v>
      </c>
      <c r="D48" s="8">
        <v>45316</v>
      </c>
      <c r="E48" s="14">
        <v>29.99</v>
      </c>
      <c r="F48" s="7">
        <v>5</v>
      </c>
      <c r="G48" s="14">
        <f t="shared" si="3"/>
        <v>2.9990000000000001</v>
      </c>
      <c r="H48" s="14">
        <f t="shared" si="2"/>
        <v>29.99</v>
      </c>
      <c r="I48" s="14">
        <f t="shared" si="4"/>
        <v>32.988999999999997</v>
      </c>
    </row>
    <row r="49" spans="1:9">
      <c r="A49" s="7" t="s">
        <v>99</v>
      </c>
      <c r="B49" s="8">
        <v>45315</v>
      </c>
      <c r="C49" s="7" t="s">
        <v>100</v>
      </c>
      <c r="D49" s="8">
        <v>45317</v>
      </c>
      <c r="E49" s="14">
        <v>79.989999999999995</v>
      </c>
      <c r="F49" s="7">
        <v>2</v>
      </c>
      <c r="G49" s="14">
        <f t="shared" si="3"/>
        <v>7.9989999999999997</v>
      </c>
      <c r="H49" s="14">
        <f t="shared" si="2"/>
        <v>79.989999999999995</v>
      </c>
      <c r="I49" s="14">
        <f t="shared" si="4"/>
        <v>87.98899999999999</v>
      </c>
    </row>
    <row r="50" spans="1:9">
      <c r="A50" s="7" t="s">
        <v>103</v>
      </c>
      <c r="B50" s="8">
        <v>45316</v>
      </c>
      <c r="C50" s="7" t="s">
        <v>104</v>
      </c>
      <c r="D50" s="8">
        <v>45318</v>
      </c>
      <c r="E50" s="14">
        <v>129.99</v>
      </c>
      <c r="F50" s="7">
        <v>1</v>
      </c>
      <c r="G50" s="14">
        <f t="shared" si="3"/>
        <v>12.999000000000002</v>
      </c>
      <c r="H50" s="14">
        <f t="shared" si="2"/>
        <v>129.99</v>
      </c>
      <c r="I50" s="14">
        <f t="shared" si="4"/>
        <v>142.989</v>
      </c>
    </row>
    <row r="51" spans="1:9">
      <c r="A51" s="7" t="s">
        <v>101</v>
      </c>
      <c r="B51" s="8">
        <v>45316</v>
      </c>
      <c r="C51" s="7" t="s">
        <v>102</v>
      </c>
      <c r="D51" s="8">
        <v>45321</v>
      </c>
      <c r="E51" s="14">
        <v>49.99</v>
      </c>
      <c r="F51" s="7">
        <v>3</v>
      </c>
      <c r="G51" s="14">
        <f t="shared" si="3"/>
        <v>4.9990000000000006</v>
      </c>
      <c r="H51" s="14">
        <f t="shared" si="2"/>
        <v>49.99</v>
      </c>
      <c r="I51" s="14">
        <f t="shared" si="4"/>
        <v>54.989000000000004</v>
      </c>
    </row>
    <row r="52" spans="1:9">
      <c r="A52" s="7" t="s">
        <v>107</v>
      </c>
      <c r="B52" s="8">
        <v>45317</v>
      </c>
      <c r="C52" s="7" t="s">
        <v>108</v>
      </c>
      <c r="D52" s="8">
        <v>45319</v>
      </c>
      <c r="E52" s="14">
        <v>149.99</v>
      </c>
      <c r="F52" s="7">
        <v>1</v>
      </c>
      <c r="G52" s="14">
        <f t="shared" si="3"/>
        <v>14.999000000000002</v>
      </c>
      <c r="H52" s="14">
        <f t="shared" si="2"/>
        <v>149.99</v>
      </c>
      <c r="I52" s="14">
        <f t="shared" si="4"/>
        <v>164.989</v>
      </c>
    </row>
    <row r="53" spans="1:9">
      <c r="A53" s="7" t="s">
        <v>105</v>
      </c>
      <c r="B53" s="8">
        <v>45317</v>
      </c>
      <c r="C53" s="7" t="s">
        <v>106</v>
      </c>
      <c r="D53" s="8">
        <v>45320</v>
      </c>
      <c r="E53" s="14">
        <v>19.989999999999998</v>
      </c>
      <c r="F53" s="7">
        <v>4</v>
      </c>
      <c r="G53" s="14">
        <f t="shared" si="3"/>
        <v>1.9989999999999999</v>
      </c>
      <c r="H53" s="14">
        <f t="shared" si="2"/>
        <v>19.989999999999998</v>
      </c>
      <c r="I53" s="14">
        <f t="shared" si="4"/>
        <v>21.988999999999997</v>
      </c>
    </row>
    <row r="54" spans="1:9">
      <c r="A54" s="7" t="s">
        <v>109</v>
      </c>
      <c r="B54" s="8">
        <v>45318</v>
      </c>
      <c r="C54" s="7" t="s">
        <v>110</v>
      </c>
      <c r="D54" s="8">
        <v>45322</v>
      </c>
      <c r="E54" s="14">
        <v>69.989999999999995</v>
      </c>
      <c r="F54" s="7">
        <v>2</v>
      </c>
      <c r="G54" s="14">
        <f t="shared" si="3"/>
        <v>6.9989999999999997</v>
      </c>
      <c r="H54" s="14">
        <f t="shared" si="2"/>
        <v>69.989999999999995</v>
      </c>
      <c r="I54" s="14">
        <f t="shared" si="4"/>
        <v>76.98899999999999</v>
      </c>
    </row>
    <row r="55" spans="1:9">
      <c r="A55" s="7" t="s">
        <v>111</v>
      </c>
      <c r="B55" s="8">
        <v>45318</v>
      </c>
      <c r="C55" s="7" t="s">
        <v>112</v>
      </c>
      <c r="D55" s="8">
        <v>45322</v>
      </c>
      <c r="E55" s="14">
        <v>39.99</v>
      </c>
      <c r="F55" s="7">
        <v>3</v>
      </c>
      <c r="G55" s="14">
        <f t="shared" si="3"/>
        <v>3.9990000000000006</v>
      </c>
      <c r="H55" s="14">
        <f t="shared" si="2"/>
        <v>39.99</v>
      </c>
      <c r="I55" s="14">
        <f t="shared" si="4"/>
        <v>43.989000000000004</v>
      </c>
    </row>
    <row r="56" spans="1:9">
      <c r="A56" s="7" t="s">
        <v>115</v>
      </c>
      <c r="B56" s="8">
        <v>45319</v>
      </c>
      <c r="C56" s="7" t="s">
        <v>116</v>
      </c>
      <c r="D56" s="8">
        <v>45320</v>
      </c>
      <c r="E56" s="14">
        <v>29.99</v>
      </c>
      <c r="F56" s="7">
        <v>5</v>
      </c>
      <c r="G56" s="14">
        <f t="shared" si="3"/>
        <v>2.9990000000000001</v>
      </c>
      <c r="H56" s="14">
        <f t="shared" si="2"/>
        <v>29.99</v>
      </c>
      <c r="I56" s="14">
        <f t="shared" si="4"/>
        <v>32.988999999999997</v>
      </c>
    </row>
    <row r="57" spans="1:9">
      <c r="A57" s="7" t="s">
        <v>113</v>
      </c>
      <c r="B57" s="8">
        <v>45319</v>
      </c>
      <c r="C57" s="7" t="s">
        <v>114</v>
      </c>
      <c r="D57" s="8">
        <v>45320</v>
      </c>
      <c r="E57" s="14">
        <v>199.99</v>
      </c>
      <c r="F57" s="7">
        <v>1</v>
      </c>
      <c r="G57" s="14">
        <f t="shared" si="3"/>
        <v>19.999000000000002</v>
      </c>
      <c r="H57" s="14">
        <f t="shared" si="2"/>
        <v>199.99</v>
      </c>
      <c r="I57" s="14">
        <f t="shared" si="4"/>
        <v>219.989</v>
      </c>
    </row>
    <row r="58" spans="1:9">
      <c r="A58" s="7" t="s">
        <v>117</v>
      </c>
      <c r="B58" s="8">
        <v>45320</v>
      </c>
      <c r="C58" s="7" t="s">
        <v>118</v>
      </c>
      <c r="D58" s="8">
        <v>45321</v>
      </c>
      <c r="E58" s="14">
        <v>79.989999999999995</v>
      </c>
      <c r="F58" s="7">
        <v>2</v>
      </c>
      <c r="G58" s="14">
        <f t="shared" si="3"/>
        <v>7.9989999999999997</v>
      </c>
      <c r="H58" s="14">
        <f t="shared" si="2"/>
        <v>79.989999999999995</v>
      </c>
      <c r="I58" s="14">
        <f t="shared" si="4"/>
        <v>87.98899999999999</v>
      </c>
    </row>
    <row r="59" spans="1:9">
      <c r="A59" s="7" t="s">
        <v>119</v>
      </c>
      <c r="B59" s="8">
        <v>45320</v>
      </c>
      <c r="C59" s="7" t="s">
        <v>90</v>
      </c>
      <c r="D59" s="8">
        <v>45322</v>
      </c>
      <c r="E59" s="14">
        <v>49.99</v>
      </c>
      <c r="F59" s="7">
        <v>3</v>
      </c>
      <c r="G59" s="14">
        <f t="shared" si="3"/>
        <v>4.9990000000000006</v>
      </c>
      <c r="H59" s="14">
        <f t="shared" si="2"/>
        <v>49.99</v>
      </c>
      <c r="I59" s="14">
        <f t="shared" si="4"/>
        <v>54.989000000000004</v>
      </c>
    </row>
    <row r="60" spans="1:9">
      <c r="A60" s="7" t="s">
        <v>120</v>
      </c>
      <c r="B60" s="8">
        <v>45321</v>
      </c>
      <c r="C60" s="7" t="s">
        <v>92</v>
      </c>
      <c r="D60" s="8">
        <v>45322</v>
      </c>
      <c r="E60" s="14">
        <v>129.99</v>
      </c>
      <c r="F60" s="7">
        <v>1</v>
      </c>
      <c r="G60" s="14">
        <f t="shared" si="3"/>
        <v>12.999000000000002</v>
      </c>
      <c r="H60" s="14">
        <f t="shared" si="2"/>
        <v>129.99</v>
      </c>
      <c r="I60" s="14">
        <f t="shared" si="4"/>
        <v>142.989</v>
      </c>
    </row>
    <row r="61" spans="1:9">
      <c r="A61" s="7" t="s">
        <v>121</v>
      </c>
      <c r="B61" s="8">
        <v>45321</v>
      </c>
      <c r="C61" s="7" t="s">
        <v>18</v>
      </c>
      <c r="D61" s="8">
        <v>45323</v>
      </c>
      <c r="E61" s="14">
        <v>19.989999999999998</v>
      </c>
      <c r="F61" s="7">
        <v>4</v>
      </c>
      <c r="G61" s="14">
        <f t="shared" si="3"/>
        <v>1.9989999999999999</v>
      </c>
      <c r="H61" s="14">
        <f t="shared" si="2"/>
        <v>19.989999999999998</v>
      </c>
      <c r="I61" s="14">
        <f t="shared" si="4"/>
        <v>21.988999999999997</v>
      </c>
    </row>
    <row r="62" spans="1:9">
      <c r="A62" s="7" t="s">
        <v>122</v>
      </c>
      <c r="B62" s="8">
        <v>45322</v>
      </c>
      <c r="C62" s="7" t="s">
        <v>95</v>
      </c>
      <c r="D62" s="8">
        <v>45324</v>
      </c>
      <c r="E62" s="14">
        <v>149.99</v>
      </c>
      <c r="F62" s="7">
        <v>1</v>
      </c>
      <c r="G62" s="14">
        <f t="shared" si="3"/>
        <v>14.999000000000002</v>
      </c>
      <c r="H62" s="14">
        <f t="shared" si="2"/>
        <v>149.99</v>
      </c>
      <c r="I62" s="14">
        <f t="shared" si="4"/>
        <v>164.989</v>
      </c>
    </row>
    <row r="63" spans="1:9">
      <c r="A63" s="7" t="s">
        <v>123</v>
      </c>
      <c r="B63" s="8">
        <v>45322</v>
      </c>
      <c r="C63" s="7" t="s">
        <v>50</v>
      </c>
      <c r="D63" s="8">
        <v>45326</v>
      </c>
      <c r="E63" s="14">
        <v>69.989999999999995</v>
      </c>
      <c r="F63" s="7">
        <v>2</v>
      </c>
      <c r="G63" s="14">
        <f t="shared" si="3"/>
        <v>6.9989999999999997</v>
      </c>
      <c r="H63" s="14">
        <f t="shared" si="2"/>
        <v>69.989999999999995</v>
      </c>
      <c r="I63" s="14">
        <f t="shared" si="4"/>
        <v>76.98899999999999</v>
      </c>
    </row>
    <row r="64" spans="1:9">
      <c r="A64" s="7" t="s">
        <v>124</v>
      </c>
      <c r="B64" s="8">
        <v>45323</v>
      </c>
      <c r="C64" s="7" t="s">
        <v>98</v>
      </c>
      <c r="D64" s="8">
        <v>45324</v>
      </c>
      <c r="E64" s="14">
        <v>39.99</v>
      </c>
      <c r="F64" s="7">
        <v>3</v>
      </c>
      <c r="G64" s="14">
        <f t="shared" si="3"/>
        <v>3.9990000000000006</v>
      </c>
      <c r="H64" s="14">
        <f t="shared" si="2"/>
        <v>39.99</v>
      </c>
      <c r="I64" s="14">
        <f t="shared" si="4"/>
        <v>43.989000000000004</v>
      </c>
    </row>
    <row r="65" spans="1:9">
      <c r="A65" s="7" t="s">
        <v>126</v>
      </c>
      <c r="B65" s="8">
        <v>45323</v>
      </c>
      <c r="C65" s="7" t="s">
        <v>102</v>
      </c>
      <c r="D65" s="8">
        <v>45325</v>
      </c>
      <c r="E65" s="14">
        <v>29.99</v>
      </c>
      <c r="F65" s="7">
        <v>5</v>
      </c>
      <c r="G65" s="14">
        <f t="shared" si="3"/>
        <v>2.9990000000000001</v>
      </c>
      <c r="H65" s="14">
        <f t="shared" si="2"/>
        <v>29.99</v>
      </c>
      <c r="I65" s="14">
        <f t="shared" si="4"/>
        <v>32.988999999999997</v>
      </c>
    </row>
    <row r="66" spans="1:9">
      <c r="A66" s="7" t="s">
        <v>125</v>
      </c>
      <c r="B66" s="8">
        <v>45323</v>
      </c>
      <c r="C66" s="7" t="s">
        <v>100</v>
      </c>
      <c r="D66" s="8">
        <v>45327</v>
      </c>
      <c r="E66" s="14">
        <v>199.99</v>
      </c>
      <c r="F66" s="7">
        <v>1</v>
      </c>
      <c r="G66" s="14">
        <f t="shared" ref="G66:G71" si="5">E66*0.1</f>
        <v>19.999000000000002</v>
      </c>
      <c r="H66" s="14">
        <f t="shared" si="2"/>
        <v>199.99</v>
      </c>
      <c r="I66" s="14">
        <f t="shared" ref="I66:I71" si="6">E66+G66</f>
        <v>219.989</v>
      </c>
    </row>
    <row r="67" spans="1:9">
      <c r="A67" s="7" t="s">
        <v>127</v>
      </c>
      <c r="B67" s="8">
        <v>45324</v>
      </c>
      <c r="C67" s="7" t="s">
        <v>104</v>
      </c>
      <c r="D67" s="8">
        <v>45328</v>
      </c>
      <c r="E67" s="14">
        <v>79.989999999999995</v>
      </c>
      <c r="F67" s="7">
        <v>2</v>
      </c>
      <c r="G67" s="14">
        <f t="shared" si="5"/>
        <v>7.9989999999999997</v>
      </c>
      <c r="H67" s="14">
        <f t="shared" ref="H67:H71" si="7">I67-G67</f>
        <v>79.989999999999995</v>
      </c>
      <c r="I67" s="14">
        <f t="shared" si="6"/>
        <v>87.98899999999999</v>
      </c>
    </row>
    <row r="68" spans="1:9">
      <c r="A68" s="7" t="s">
        <v>128</v>
      </c>
      <c r="B68" s="8">
        <v>45325</v>
      </c>
      <c r="C68" s="7" t="s">
        <v>106</v>
      </c>
      <c r="D68" s="8">
        <v>45328</v>
      </c>
      <c r="E68" s="14">
        <v>49.99</v>
      </c>
      <c r="F68" s="7">
        <v>3</v>
      </c>
      <c r="G68" s="14">
        <f t="shared" si="5"/>
        <v>4.9990000000000006</v>
      </c>
      <c r="H68" s="14">
        <f t="shared" si="7"/>
        <v>49.99</v>
      </c>
      <c r="I68" s="14">
        <f t="shared" si="6"/>
        <v>54.989000000000004</v>
      </c>
    </row>
    <row r="69" spans="1:9">
      <c r="A69" s="7" t="s">
        <v>129</v>
      </c>
      <c r="B69" s="8">
        <v>45326</v>
      </c>
      <c r="C69" s="7" t="s">
        <v>108</v>
      </c>
      <c r="D69" s="8">
        <v>45327</v>
      </c>
      <c r="E69" s="14">
        <v>129.99</v>
      </c>
      <c r="F69" s="7">
        <v>1</v>
      </c>
      <c r="G69" s="14">
        <f t="shared" si="5"/>
        <v>12.999000000000002</v>
      </c>
      <c r="H69" s="14">
        <f t="shared" si="7"/>
        <v>129.99</v>
      </c>
      <c r="I69" s="14">
        <f t="shared" si="6"/>
        <v>142.989</v>
      </c>
    </row>
    <row r="70" spans="1:9">
      <c r="A70" s="7" t="s">
        <v>131</v>
      </c>
      <c r="B70" s="8">
        <v>45326</v>
      </c>
      <c r="C70" s="7" t="s">
        <v>112</v>
      </c>
      <c r="D70" s="8">
        <v>45329</v>
      </c>
      <c r="E70" s="14">
        <v>149.99</v>
      </c>
      <c r="F70" s="7">
        <v>1</v>
      </c>
      <c r="G70" s="14">
        <f t="shared" si="5"/>
        <v>14.999000000000002</v>
      </c>
      <c r="H70" s="14">
        <f t="shared" si="7"/>
        <v>149.99</v>
      </c>
      <c r="I70" s="14">
        <f t="shared" si="6"/>
        <v>164.989</v>
      </c>
    </row>
    <row r="71" spans="1:9">
      <c r="A71" s="7" t="s">
        <v>130</v>
      </c>
      <c r="B71" s="8">
        <v>45326</v>
      </c>
      <c r="C71" s="7" t="s">
        <v>110</v>
      </c>
      <c r="D71" s="8">
        <v>45330</v>
      </c>
      <c r="E71" s="14">
        <v>19.989999999999998</v>
      </c>
      <c r="F71" s="7">
        <v>4</v>
      </c>
      <c r="G71" s="14">
        <f t="shared" si="5"/>
        <v>1.9989999999999999</v>
      </c>
      <c r="H71" s="14">
        <f t="shared" si="7"/>
        <v>19.989999999999998</v>
      </c>
      <c r="I71" s="14">
        <f t="shared" si="6"/>
        <v>21.988999999999997</v>
      </c>
    </row>
    <row r="72" spans="1:9">
      <c r="B72" s="9"/>
    </row>
    <row r="73" spans="1:9">
      <c r="A73"/>
      <c r="B73"/>
      <c r="C73"/>
      <c r="D73"/>
      <c r="E73"/>
      <c r="F73"/>
      <c r="G73"/>
      <c r="H73"/>
    </row>
    <row r="74" spans="1:9">
      <c r="A74"/>
      <c r="B74"/>
      <c r="C74"/>
      <c r="D74"/>
      <c r="E74"/>
      <c r="F74"/>
      <c r="G74"/>
      <c r="H74"/>
    </row>
    <row r="75" spans="1:9">
      <c r="A75"/>
      <c r="B75"/>
      <c r="C75"/>
      <c r="D75"/>
      <c r="E75"/>
      <c r="F75"/>
      <c r="G75"/>
      <c r="H75"/>
    </row>
    <row r="76" spans="1:9">
      <c r="A76"/>
      <c r="B76"/>
      <c r="C76"/>
      <c r="D76"/>
      <c r="E76"/>
      <c r="F76"/>
      <c r="G76"/>
      <c r="H76"/>
    </row>
    <row r="77" spans="1:9">
      <c r="A77"/>
      <c r="B77"/>
      <c r="C77"/>
      <c r="D77"/>
      <c r="E77"/>
      <c r="F77"/>
      <c r="G77"/>
      <c r="H77"/>
    </row>
    <row r="78" spans="1:9">
      <c r="A78"/>
      <c r="B78"/>
      <c r="C78"/>
      <c r="D78"/>
      <c r="E78"/>
      <c r="F78"/>
      <c r="G78"/>
      <c r="H78"/>
    </row>
    <row r="79" spans="1:9">
      <c r="A79"/>
      <c r="B79"/>
      <c r="C79"/>
      <c r="D79"/>
      <c r="E79"/>
      <c r="F79"/>
      <c r="G79"/>
      <c r="H79"/>
    </row>
    <row r="80" spans="1:9">
      <c r="A80"/>
      <c r="B80"/>
      <c r="C80"/>
      <c r="D80"/>
      <c r="E80"/>
      <c r="F80"/>
      <c r="G80"/>
      <c r="H80"/>
    </row>
    <row r="81" spans="1:9">
      <c r="A81" s="21" t="s">
        <v>11</v>
      </c>
      <c r="B81" s="22">
        <v>45292</v>
      </c>
      <c r="C81" s="21" t="s">
        <v>12</v>
      </c>
      <c r="D81" s="22">
        <v>45294</v>
      </c>
      <c r="E81" s="23">
        <v>49.99</v>
      </c>
      <c r="F81" s="21">
        <v>2</v>
      </c>
      <c r="G81" s="23">
        <v>4.9989999999999997</v>
      </c>
      <c r="H81" s="23">
        <v>49.99</v>
      </c>
      <c r="I81" s="23">
        <v>54.988999999999997</v>
      </c>
    </row>
    <row r="82" spans="1:9">
      <c r="A82" s="21" t="s">
        <v>13</v>
      </c>
      <c r="B82" s="22">
        <v>45292</v>
      </c>
      <c r="C82" s="21" t="s">
        <v>14</v>
      </c>
      <c r="D82" s="22">
        <v>45295</v>
      </c>
      <c r="E82" s="23">
        <v>29.99</v>
      </c>
      <c r="F82" s="21">
        <v>1</v>
      </c>
      <c r="G82" s="23">
        <v>2.9990000000000001</v>
      </c>
      <c r="H82" s="23">
        <v>29.99</v>
      </c>
      <c r="I82" s="23">
        <v>32.988999999999997</v>
      </c>
    </row>
    <row r="83" spans="1:9">
      <c r="A83" s="21" t="s">
        <v>17</v>
      </c>
      <c r="B83" s="22">
        <v>45293</v>
      </c>
      <c r="C83" s="21" t="s">
        <v>18</v>
      </c>
      <c r="D83" s="22">
        <v>45294</v>
      </c>
      <c r="E83" s="23">
        <v>19.989999999999998</v>
      </c>
      <c r="F83" s="21">
        <v>4</v>
      </c>
      <c r="G83" s="23">
        <v>1.9990000000000001</v>
      </c>
      <c r="H83" s="23">
        <v>19.989999999999998</v>
      </c>
      <c r="I83" s="23">
        <v>21.989000000000001</v>
      </c>
    </row>
    <row r="84" spans="1:9">
      <c r="A84" s="21" t="s">
        <v>15</v>
      </c>
      <c r="B84" s="22">
        <v>45293</v>
      </c>
      <c r="C84" s="21" t="s">
        <v>16</v>
      </c>
      <c r="D84" s="22">
        <v>45298</v>
      </c>
      <c r="E84" s="23">
        <v>99.99</v>
      </c>
      <c r="F84" s="21">
        <v>3</v>
      </c>
      <c r="G84" s="23">
        <v>9.9990000000000006</v>
      </c>
      <c r="H84" s="23">
        <v>99.99</v>
      </c>
      <c r="I84" s="23">
        <v>109.989</v>
      </c>
    </row>
    <row r="85" spans="1:9">
      <c r="A85" s="21" t="s">
        <v>21</v>
      </c>
      <c r="B85" s="22">
        <v>45294</v>
      </c>
      <c r="C85" s="21" t="s">
        <v>22</v>
      </c>
      <c r="D85" s="22">
        <v>45297</v>
      </c>
      <c r="E85" s="23">
        <v>79.989999999999995</v>
      </c>
      <c r="F85" s="21">
        <v>2</v>
      </c>
      <c r="G85" s="23">
        <v>7.9989999999999997</v>
      </c>
      <c r="H85" s="23">
        <v>79.989999999999995</v>
      </c>
      <c r="I85" s="23">
        <v>87.989000000000004</v>
      </c>
    </row>
    <row r="86" spans="1:9">
      <c r="A86" s="21" t="s">
        <v>19</v>
      </c>
      <c r="B86" s="22">
        <v>45294</v>
      </c>
      <c r="C86" s="21" t="s">
        <v>20</v>
      </c>
      <c r="D86" s="22">
        <v>45299</v>
      </c>
      <c r="E86" s="23">
        <v>149.99</v>
      </c>
      <c r="F86" s="21">
        <v>1</v>
      </c>
      <c r="G86" s="23">
        <v>14.999000000000001</v>
      </c>
      <c r="H86" s="23">
        <v>149.99</v>
      </c>
      <c r="I86" s="23">
        <v>164.989</v>
      </c>
    </row>
    <row r="87" spans="1:9">
      <c r="A87" s="21" t="s">
        <v>23</v>
      </c>
      <c r="B87" s="22">
        <v>45295</v>
      </c>
      <c r="C87" s="21" t="s">
        <v>24</v>
      </c>
      <c r="D87" s="22">
        <v>45297</v>
      </c>
      <c r="E87" s="23">
        <v>39.99</v>
      </c>
      <c r="F87" s="21">
        <v>3</v>
      </c>
      <c r="G87" s="23">
        <v>3.9990000000000001</v>
      </c>
      <c r="H87" s="23">
        <v>39.99</v>
      </c>
      <c r="I87" s="23">
        <v>43.988999999999997</v>
      </c>
    </row>
    <row r="88" spans="1:9">
      <c r="A88" s="21" t="s">
        <v>25</v>
      </c>
      <c r="B88" s="22">
        <v>45295</v>
      </c>
      <c r="C88" s="21" t="s">
        <v>26</v>
      </c>
      <c r="D88" s="22">
        <v>45300</v>
      </c>
      <c r="E88" s="23">
        <v>69.989999999999995</v>
      </c>
      <c r="F88" s="21">
        <v>2</v>
      </c>
      <c r="G88" s="23">
        <v>6.9989999999999997</v>
      </c>
      <c r="H88" s="23">
        <v>69.989999999999995</v>
      </c>
      <c r="I88" s="23">
        <v>76.989000000000004</v>
      </c>
    </row>
    <row r="89" spans="1:9">
      <c r="A89" s="21" t="s">
        <v>27</v>
      </c>
      <c r="B89" s="22">
        <v>45296</v>
      </c>
      <c r="C89" s="21" t="s">
        <v>28</v>
      </c>
      <c r="D89" s="22">
        <v>45297</v>
      </c>
      <c r="E89" s="23">
        <v>89.99</v>
      </c>
      <c r="F89" s="21">
        <v>1</v>
      </c>
      <c r="G89" s="23">
        <v>8.9990000000000006</v>
      </c>
      <c r="H89" s="23">
        <v>89.99</v>
      </c>
      <c r="I89" s="23">
        <v>98.989000000000004</v>
      </c>
    </row>
    <row r="90" spans="1:9">
      <c r="A90" s="21" t="s">
        <v>29</v>
      </c>
      <c r="B90" s="22">
        <v>45296</v>
      </c>
      <c r="C90" s="21" t="s">
        <v>30</v>
      </c>
      <c r="D90" s="22">
        <v>45299</v>
      </c>
      <c r="E90" s="23">
        <v>199.99</v>
      </c>
      <c r="F90" s="21">
        <v>1</v>
      </c>
      <c r="G90" s="23">
        <v>19.998999999999999</v>
      </c>
      <c r="H90" s="23">
        <v>199.99</v>
      </c>
      <c r="I90" s="23">
        <v>219.989</v>
      </c>
    </row>
    <row r="91" spans="1:9">
      <c r="A91" s="21" t="s">
        <v>31</v>
      </c>
      <c r="B91" s="22">
        <v>45297</v>
      </c>
      <c r="C91" s="21" t="s">
        <v>32</v>
      </c>
      <c r="D91" s="22">
        <v>45298</v>
      </c>
      <c r="E91" s="23">
        <v>29.99</v>
      </c>
      <c r="F91" s="21">
        <v>5</v>
      </c>
      <c r="G91" s="23">
        <v>2.9990000000000001</v>
      </c>
      <c r="H91" s="23">
        <v>29.99</v>
      </c>
      <c r="I91" s="23">
        <v>32.988999999999997</v>
      </c>
    </row>
    <row r="92" spans="1:9">
      <c r="A92" s="21" t="s">
        <v>33</v>
      </c>
      <c r="B92" s="22">
        <v>45297</v>
      </c>
      <c r="C92" s="21" t="s">
        <v>34</v>
      </c>
      <c r="D92" s="22">
        <v>45299</v>
      </c>
      <c r="E92" s="23">
        <v>79.989999999999995</v>
      </c>
      <c r="F92" s="21">
        <v>2</v>
      </c>
      <c r="G92" s="23">
        <v>7.9989999999999997</v>
      </c>
      <c r="H92" s="23">
        <v>79.989999999999995</v>
      </c>
      <c r="I92" s="23">
        <v>87.989000000000004</v>
      </c>
    </row>
    <row r="93" spans="1:9">
      <c r="A93" s="21" t="s">
        <v>35</v>
      </c>
      <c r="B93" s="22">
        <v>45298</v>
      </c>
      <c r="C93" s="21" t="s">
        <v>36</v>
      </c>
      <c r="D93" s="22">
        <v>45300</v>
      </c>
      <c r="E93" s="23">
        <v>49.99</v>
      </c>
      <c r="F93" s="21">
        <v>3</v>
      </c>
      <c r="G93" s="23">
        <v>4.9989999999999997</v>
      </c>
      <c r="H93" s="23">
        <v>49.99</v>
      </c>
      <c r="I93" s="23">
        <v>54.988999999999997</v>
      </c>
    </row>
    <row r="94" spans="1:9">
      <c r="A94" s="21" t="s">
        <v>37</v>
      </c>
      <c r="B94" s="22">
        <v>45298</v>
      </c>
      <c r="C94" s="21" t="s">
        <v>38</v>
      </c>
      <c r="D94" s="22">
        <v>45303</v>
      </c>
      <c r="E94" s="23">
        <v>129.99</v>
      </c>
      <c r="F94" s="21">
        <v>1</v>
      </c>
      <c r="G94" s="23">
        <v>12.999000000000001</v>
      </c>
      <c r="H94" s="23">
        <v>129.99</v>
      </c>
      <c r="I94" s="23">
        <v>142.989</v>
      </c>
    </row>
    <row r="95" spans="1:9">
      <c r="A95" s="21" t="s">
        <v>41</v>
      </c>
      <c r="B95" s="22">
        <v>45299</v>
      </c>
      <c r="C95" s="21" t="s">
        <v>42</v>
      </c>
      <c r="D95" s="22">
        <v>45303</v>
      </c>
      <c r="E95" s="23">
        <v>149.99</v>
      </c>
      <c r="F95" s="21">
        <v>1</v>
      </c>
      <c r="G95" s="23">
        <v>14.999000000000001</v>
      </c>
      <c r="H95" s="23">
        <v>149.99</v>
      </c>
      <c r="I95" s="23">
        <v>164.989</v>
      </c>
    </row>
    <row r="96" spans="1:9">
      <c r="A96" s="21" t="s">
        <v>39</v>
      </c>
      <c r="B96" s="22">
        <v>45299</v>
      </c>
      <c r="C96" s="21" t="s">
        <v>40</v>
      </c>
      <c r="D96" s="22">
        <v>45304</v>
      </c>
      <c r="E96" s="23">
        <v>19.989999999999998</v>
      </c>
      <c r="F96" s="21">
        <v>4</v>
      </c>
      <c r="G96" s="23">
        <v>1.9990000000000001</v>
      </c>
      <c r="H96" s="23">
        <v>19.989999999999998</v>
      </c>
      <c r="I96" s="23">
        <v>21.989000000000001</v>
      </c>
    </row>
    <row r="97" spans="1:9">
      <c r="A97" s="21" t="s">
        <v>45</v>
      </c>
      <c r="B97" s="22">
        <v>45300</v>
      </c>
      <c r="C97" s="21" t="s">
        <v>46</v>
      </c>
      <c r="D97" s="22">
        <v>45303</v>
      </c>
      <c r="E97" s="23">
        <v>39.99</v>
      </c>
      <c r="F97" s="21">
        <v>3</v>
      </c>
      <c r="G97" s="23">
        <v>3.9990000000000001</v>
      </c>
      <c r="H97" s="23">
        <v>39.99</v>
      </c>
      <c r="I97" s="23">
        <v>43.988999999999997</v>
      </c>
    </row>
    <row r="98" spans="1:9">
      <c r="A98" s="21" t="s">
        <v>43</v>
      </c>
      <c r="B98" s="22">
        <v>45300</v>
      </c>
      <c r="C98" s="21" t="s">
        <v>44</v>
      </c>
      <c r="D98" s="22">
        <v>45305</v>
      </c>
      <c r="E98" s="23">
        <v>69.989999999999995</v>
      </c>
      <c r="F98" s="21">
        <v>2</v>
      </c>
      <c r="G98" s="23">
        <v>6.9989999999999997</v>
      </c>
      <c r="H98" s="23">
        <v>69.989999999999995</v>
      </c>
      <c r="I98" s="23">
        <v>76.989000000000004</v>
      </c>
    </row>
    <row r="99" spans="1:9">
      <c r="A99" s="21" t="s">
        <v>47</v>
      </c>
      <c r="B99" s="22">
        <v>45301</v>
      </c>
      <c r="C99" s="21" t="s">
        <v>48</v>
      </c>
      <c r="D99" s="22">
        <v>45302</v>
      </c>
      <c r="E99" s="23">
        <v>199.99</v>
      </c>
      <c r="F99" s="21">
        <v>1</v>
      </c>
      <c r="G99" s="23">
        <v>19.998999999999999</v>
      </c>
      <c r="H99" s="23">
        <v>199.99</v>
      </c>
      <c r="I99" s="23">
        <v>219.989</v>
      </c>
    </row>
    <row r="100" spans="1:9">
      <c r="A100" s="21" t="s">
        <v>49</v>
      </c>
      <c r="B100" s="22">
        <v>45301</v>
      </c>
      <c r="C100" s="21" t="s">
        <v>50</v>
      </c>
      <c r="D100" s="22">
        <v>45305</v>
      </c>
      <c r="E100" s="23">
        <v>29.99</v>
      </c>
      <c r="F100" s="21">
        <v>5</v>
      </c>
      <c r="G100" s="23">
        <v>2.9990000000000001</v>
      </c>
      <c r="H100" s="23">
        <v>29.99</v>
      </c>
      <c r="I100" s="23">
        <v>32.988999999999997</v>
      </c>
    </row>
    <row r="101" spans="1:9">
      <c r="A101" s="21" t="s">
        <v>51</v>
      </c>
      <c r="B101" s="22">
        <v>45302</v>
      </c>
      <c r="C101" s="21" t="s">
        <v>52</v>
      </c>
      <c r="D101" s="22">
        <v>45305</v>
      </c>
      <c r="E101" s="23">
        <v>79.989999999999995</v>
      </c>
      <c r="F101" s="21">
        <v>2</v>
      </c>
      <c r="G101" s="23">
        <v>7.9989999999999997</v>
      </c>
      <c r="H101" s="23">
        <v>79.989999999999995</v>
      </c>
      <c r="I101" s="23">
        <v>87.989000000000004</v>
      </c>
    </row>
    <row r="102" spans="1:9">
      <c r="A102" s="21" t="s">
        <v>53</v>
      </c>
      <c r="B102" s="22">
        <v>45302</v>
      </c>
      <c r="C102" s="21" t="s">
        <v>54</v>
      </c>
      <c r="D102" s="22">
        <v>45306</v>
      </c>
      <c r="E102" s="23">
        <v>49.99</v>
      </c>
      <c r="F102" s="21">
        <v>3</v>
      </c>
      <c r="G102" s="23">
        <v>4.9989999999999997</v>
      </c>
      <c r="H102" s="23">
        <v>49.99</v>
      </c>
      <c r="I102" s="23">
        <v>54.988999999999997</v>
      </c>
    </row>
    <row r="103" spans="1:9">
      <c r="A103" s="21" t="s">
        <v>55</v>
      </c>
      <c r="B103" s="22">
        <v>45303</v>
      </c>
      <c r="C103" s="21" t="s">
        <v>56</v>
      </c>
      <c r="D103" s="22">
        <v>45308</v>
      </c>
      <c r="E103" s="23">
        <v>129.99</v>
      </c>
      <c r="F103" s="21">
        <v>1</v>
      </c>
      <c r="G103" s="23">
        <v>12.999000000000001</v>
      </c>
      <c r="H103" s="23">
        <v>129.99</v>
      </c>
      <c r="I103" s="23">
        <v>142.989</v>
      </c>
    </row>
    <row r="104" spans="1:9">
      <c r="A104" s="21" t="s">
        <v>57</v>
      </c>
      <c r="B104" s="22">
        <v>45303</v>
      </c>
      <c r="C104" s="21" t="s">
        <v>58</v>
      </c>
      <c r="D104" s="22">
        <v>45308</v>
      </c>
      <c r="E104" s="23">
        <v>19.989999999999998</v>
      </c>
      <c r="F104" s="21">
        <v>4</v>
      </c>
      <c r="G104" s="23">
        <v>1.9990000000000001</v>
      </c>
      <c r="H104" s="23">
        <v>19.989999999999998</v>
      </c>
      <c r="I104" s="23">
        <v>21.989000000000001</v>
      </c>
    </row>
    <row r="105" spans="1:9">
      <c r="A105" s="21" t="s">
        <v>60</v>
      </c>
      <c r="B105" s="22">
        <v>45304</v>
      </c>
      <c r="C105" s="21" t="s">
        <v>61</v>
      </c>
      <c r="D105" s="22">
        <v>45305</v>
      </c>
      <c r="E105" s="23">
        <v>69.989999999999995</v>
      </c>
      <c r="F105" s="21">
        <v>2</v>
      </c>
      <c r="G105" s="23">
        <v>6.9989999999999997</v>
      </c>
      <c r="H105" s="23">
        <v>69.989999999999995</v>
      </c>
      <c r="I105" s="23">
        <v>76.989000000000004</v>
      </c>
    </row>
    <row r="106" spans="1:9">
      <c r="A106" s="21" t="s">
        <v>59</v>
      </c>
      <c r="B106" s="22">
        <v>45304</v>
      </c>
      <c r="C106" s="21" t="s">
        <v>20</v>
      </c>
      <c r="D106" s="22">
        <v>45308</v>
      </c>
      <c r="E106" s="23">
        <v>149.99</v>
      </c>
      <c r="F106" s="21">
        <v>1</v>
      </c>
      <c r="G106" s="23">
        <v>14.999000000000001</v>
      </c>
      <c r="H106" s="23">
        <v>149.99</v>
      </c>
      <c r="I106" s="23">
        <v>164.989</v>
      </c>
    </row>
    <row r="107" spans="1:9">
      <c r="A107" s="21" t="s">
        <v>62</v>
      </c>
      <c r="B107" s="22">
        <v>45305</v>
      </c>
      <c r="C107" s="21" t="s">
        <v>63</v>
      </c>
      <c r="D107" s="22">
        <v>45309</v>
      </c>
      <c r="E107" s="23">
        <v>39.99</v>
      </c>
      <c r="F107" s="21">
        <v>3</v>
      </c>
      <c r="G107" s="23">
        <v>3.9990000000000001</v>
      </c>
      <c r="H107" s="23">
        <v>39.99</v>
      </c>
      <c r="I107" s="23">
        <v>43.988999999999997</v>
      </c>
    </row>
    <row r="108" spans="1:9">
      <c r="A108" s="21" t="s">
        <v>64</v>
      </c>
      <c r="B108" s="22">
        <v>45305</v>
      </c>
      <c r="C108" s="21" t="s">
        <v>65</v>
      </c>
      <c r="D108" s="22">
        <v>45310</v>
      </c>
      <c r="E108" s="23">
        <v>199.99</v>
      </c>
      <c r="F108" s="21">
        <v>1</v>
      </c>
      <c r="G108" s="23">
        <v>19.998999999999999</v>
      </c>
      <c r="H108" s="23">
        <v>199.99</v>
      </c>
      <c r="I108" s="23">
        <v>219.989</v>
      </c>
    </row>
    <row r="109" spans="1:9">
      <c r="A109" s="21" t="s">
        <v>66</v>
      </c>
      <c r="B109" s="22">
        <v>45306</v>
      </c>
      <c r="C109" s="21" t="s">
        <v>67</v>
      </c>
      <c r="D109" s="22">
        <v>45310</v>
      </c>
      <c r="E109" s="23">
        <v>29.99</v>
      </c>
      <c r="F109" s="21">
        <v>5</v>
      </c>
      <c r="G109" s="23">
        <v>2.9990000000000001</v>
      </c>
      <c r="H109" s="23">
        <v>29.99</v>
      </c>
      <c r="I109" s="23">
        <v>32.988999999999997</v>
      </c>
    </row>
    <row r="110" spans="1:9">
      <c r="A110" s="21" t="s">
        <v>68</v>
      </c>
      <c r="B110" s="22">
        <v>45306</v>
      </c>
      <c r="C110" s="21" t="s">
        <v>69</v>
      </c>
      <c r="D110" s="22">
        <v>45310</v>
      </c>
      <c r="E110" s="23">
        <v>79.989999999999995</v>
      </c>
      <c r="F110" s="21">
        <v>2</v>
      </c>
      <c r="G110" s="23">
        <v>7.9989999999999997</v>
      </c>
      <c r="H110" s="23">
        <v>79.989999999999995</v>
      </c>
      <c r="I110" s="23">
        <v>87.989000000000004</v>
      </c>
    </row>
    <row r="111" spans="1:9">
      <c r="A111" s="21" t="s">
        <v>72</v>
      </c>
      <c r="B111" s="22">
        <v>45307</v>
      </c>
      <c r="C111" s="21" t="s">
        <v>73</v>
      </c>
      <c r="D111" s="22">
        <v>45308</v>
      </c>
      <c r="E111" s="23">
        <v>129.99</v>
      </c>
      <c r="F111" s="21">
        <v>1</v>
      </c>
      <c r="G111" s="23">
        <v>12.999000000000001</v>
      </c>
      <c r="H111" s="23">
        <v>129.99</v>
      </c>
      <c r="I111" s="23">
        <v>142.989</v>
      </c>
    </row>
    <row r="112" spans="1:9">
      <c r="A112" s="21" t="s">
        <v>70</v>
      </c>
      <c r="B112" s="22">
        <v>45307</v>
      </c>
      <c r="C112" s="21" t="s">
        <v>71</v>
      </c>
      <c r="D112" s="22">
        <v>45310</v>
      </c>
      <c r="E112" s="23">
        <v>49.99</v>
      </c>
      <c r="F112" s="21">
        <v>3</v>
      </c>
      <c r="G112" s="23">
        <v>4.9989999999999997</v>
      </c>
      <c r="H112" s="23">
        <v>49.99</v>
      </c>
      <c r="I112" s="23">
        <v>54.988999999999997</v>
      </c>
    </row>
    <row r="113" spans="1:9">
      <c r="A113" s="21" t="s">
        <v>74</v>
      </c>
      <c r="B113" s="22">
        <v>45308</v>
      </c>
      <c r="C113" s="21" t="s">
        <v>75</v>
      </c>
      <c r="D113" s="22">
        <v>45310</v>
      </c>
      <c r="E113" s="23">
        <v>19.989999999999998</v>
      </c>
      <c r="F113" s="21">
        <v>4</v>
      </c>
      <c r="G113" s="23">
        <v>1.9990000000000001</v>
      </c>
      <c r="H113" s="23">
        <v>19.989999999999998</v>
      </c>
      <c r="I113" s="23">
        <v>21.989000000000001</v>
      </c>
    </row>
    <row r="114" spans="1:9">
      <c r="A114" s="21" t="s">
        <v>76</v>
      </c>
      <c r="B114" s="22">
        <v>45308</v>
      </c>
      <c r="C114" s="21" t="s">
        <v>77</v>
      </c>
      <c r="D114" s="22">
        <v>45310</v>
      </c>
      <c r="E114" s="23">
        <v>149.99</v>
      </c>
      <c r="F114" s="21">
        <v>1</v>
      </c>
      <c r="G114" s="23">
        <v>14.999000000000001</v>
      </c>
      <c r="H114" s="23">
        <v>149.99</v>
      </c>
      <c r="I114" s="23">
        <v>164.989</v>
      </c>
    </row>
    <row r="115" spans="1:9">
      <c r="A115" s="21" t="s">
        <v>80</v>
      </c>
      <c r="B115" s="22">
        <v>45309</v>
      </c>
      <c r="C115" s="21" t="s">
        <v>81</v>
      </c>
      <c r="D115" s="22">
        <v>45310</v>
      </c>
      <c r="E115" s="23">
        <v>39.99</v>
      </c>
      <c r="F115" s="21">
        <v>3</v>
      </c>
      <c r="G115" s="23">
        <v>3.9990000000000001</v>
      </c>
      <c r="H115" s="23">
        <v>39.99</v>
      </c>
      <c r="I115" s="23">
        <v>43.988999999999997</v>
      </c>
    </row>
    <row r="116" spans="1:9">
      <c r="A116" s="21" t="s">
        <v>78</v>
      </c>
      <c r="B116" s="22">
        <v>45309</v>
      </c>
      <c r="C116" s="21" t="s">
        <v>79</v>
      </c>
      <c r="D116" s="22">
        <v>45314</v>
      </c>
      <c r="E116" s="23">
        <v>69.989999999999995</v>
      </c>
      <c r="F116" s="21">
        <v>2</v>
      </c>
      <c r="G116" s="23">
        <v>6.9989999999999997</v>
      </c>
      <c r="H116" s="23">
        <v>69.989999999999995</v>
      </c>
      <c r="I116" s="23">
        <v>76.989000000000004</v>
      </c>
    </row>
    <row r="117" spans="1:9">
      <c r="A117" s="21" t="s">
        <v>82</v>
      </c>
      <c r="B117" s="22">
        <v>45310</v>
      </c>
      <c r="C117" s="21" t="s">
        <v>83</v>
      </c>
      <c r="D117" s="22">
        <v>45311</v>
      </c>
      <c r="E117" s="23">
        <v>199.99</v>
      </c>
      <c r="F117" s="21">
        <v>1</v>
      </c>
      <c r="G117" s="23">
        <v>19.998999999999999</v>
      </c>
      <c r="H117" s="23">
        <v>199.99</v>
      </c>
      <c r="I117" s="23">
        <v>219.989</v>
      </c>
    </row>
    <row r="118" spans="1:9">
      <c r="A118" s="21" t="s">
        <v>84</v>
      </c>
      <c r="B118" s="22">
        <v>45310</v>
      </c>
      <c r="C118" s="21" t="s">
        <v>85</v>
      </c>
      <c r="D118" s="22">
        <v>45313</v>
      </c>
      <c r="E118" s="23">
        <v>29.99</v>
      </c>
      <c r="F118" s="21">
        <v>5</v>
      </c>
      <c r="G118" s="23">
        <v>2.9990000000000001</v>
      </c>
      <c r="H118" s="23">
        <v>29.99</v>
      </c>
      <c r="I118" s="23">
        <v>32.988999999999997</v>
      </c>
    </row>
    <row r="119" spans="1:9">
      <c r="A119" s="21" t="s">
        <v>87</v>
      </c>
      <c r="B119" s="22">
        <v>45311</v>
      </c>
      <c r="C119" s="21" t="s">
        <v>58</v>
      </c>
      <c r="D119" s="22">
        <v>45312</v>
      </c>
      <c r="E119" s="23">
        <v>49.99</v>
      </c>
      <c r="F119" s="21">
        <v>3</v>
      </c>
      <c r="G119" s="23">
        <v>4.9989999999999997</v>
      </c>
      <c r="H119" s="23">
        <v>49.99</v>
      </c>
      <c r="I119" s="23">
        <v>54.988999999999997</v>
      </c>
    </row>
    <row r="120" spans="1:9">
      <c r="A120" s="21" t="s">
        <v>86</v>
      </c>
      <c r="B120" s="22">
        <v>45311</v>
      </c>
      <c r="C120" s="21" t="s">
        <v>16</v>
      </c>
      <c r="D120" s="22">
        <v>45315</v>
      </c>
      <c r="E120" s="23">
        <v>79.989999999999995</v>
      </c>
      <c r="F120" s="21">
        <v>2</v>
      </c>
      <c r="G120" s="23">
        <v>7.9989999999999997</v>
      </c>
      <c r="H120" s="23">
        <v>79.989999999999995</v>
      </c>
      <c r="I120" s="23">
        <v>87.989000000000004</v>
      </c>
    </row>
    <row r="121" spans="1:9">
      <c r="A121" s="21" t="s">
        <v>89</v>
      </c>
      <c r="B121" s="22">
        <v>45312</v>
      </c>
      <c r="C121" s="21" t="s">
        <v>90</v>
      </c>
      <c r="D121" s="22">
        <v>45314</v>
      </c>
      <c r="E121" s="23">
        <v>19.989999999999998</v>
      </c>
      <c r="F121" s="21">
        <v>4</v>
      </c>
      <c r="G121" s="23">
        <v>1.9990000000000001</v>
      </c>
      <c r="H121" s="23">
        <v>19.989999999999998</v>
      </c>
      <c r="I121" s="23">
        <v>21.989000000000001</v>
      </c>
    </row>
    <row r="122" spans="1:9">
      <c r="A122" s="21" t="s">
        <v>88</v>
      </c>
      <c r="B122" s="22">
        <v>45312</v>
      </c>
      <c r="C122" s="21" t="s">
        <v>20</v>
      </c>
      <c r="D122" s="22">
        <v>45317</v>
      </c>
      <c r="E122" s="23">
        <v>129.99</v>
      </c>
      <c r="F122" s="21">
        <v>1</v>
      </c>
      <c r="G122" s="23">
        <v>12.999000000000001</v>
      </c>
      <c r="H122" s="23">
        <v>129.99</v>
      </c>
      <c r="I122" s="23">
        <v>142.989</v>
      </c>
    </row>
    <row r="123" spans="1:9">
      <c r="A123" s="21" t="s">
        <v>93</v>
      </c>
      <c r="B123" s="22">
        <v>45313</v>
      </c>
      <c r="C123" s="21" t="s">
        <v>18</v>
      </c>
      <c r="D123" s="22">
        <v>45316</v>
      </c>
      <c r="E123" s="23">
        <v>69.989999999999995</v>
      </c>
      <c r="F123" s="21">
        <v>2</v>
      </c>
      <c r="G123" s="23">
        <v>6.9989999999999997</v>
      </c>
      <c r="H123" s="23">
        <v>69.989999999999995</v>
      </c>
      <c r="I123" s="23">
        <v>76.989000000000004</v>
      </c>
    </row>
    <row r="124" spans="1:9">
      <c r="A124" s="21" t="s">
        <v>91</v>
      </c>
      <c r="B124" s="22">
        <v>45313</v>
      </c>
      <c r="C124" s="21" t="s">
        <v>92</v>
      </c>
      <c r="D124" s="22">
        <v>45316</v>
      </c>
      <c r="E124" s="23">
        <v>149.99</v>
      </c>
      <c r="F124" s="21">
        <v>1</v>
      </c>
      <c r="G124" s="23">
        <v>14.999000000000001</v>
      </c>
      <c r="H124" s="23">
        <v>149.99</v>
      </c>
      <c r="I124" s="23">
        <v>164.989</v>
      </c>
    </row>
    <row r="125" spans="1:9">
      <c r="A125" s="21" t="s">
        <v>96</v>
      </c>
      <c r="B125" s="22">
        <v>45314</v>
      </c>
      <c r="C125" s="21" t="s">
        <v>50</v>
      </c>
      <c r="D125" s="22">
        <v>45317</v>
      </c>
      <c r="E125" s="23">
        <v>199.99</v>
      </c>
      <c r="F125" s="21">
        <v>1</v>
      </c>
      <c r="G125" s="23">
        <v>19.998999999999999</v>
      </c>
      <c r="H125" s="23">
        <v>199.99</v>
      </c>
      <c r="I125" s="23">
        <v>219.989</v>
      </c>
    </row>
    <row r="126" spans="1:9">
      <c r="A126" s="21" t="s">
        <v>94</v>
      </c>
      <c r="B126" s="22">
        <v>45314</v>
      </c>
      <c r="C126" s="21" t="s">
        <v>95</v>
      </c>
      <c r="D126" s="22">
        <v>45318</v>
      </c>
      <c r="E126" s="23">
        <v>39.99</v>
      </c>
      <c r="F126" s="21">
        <v>3</v>
      </c>
      <c r="G126" s="23">
        <v>3.9990000000000001</v>
      </c>
      <c r="H126" s="23">
        <v>39.99</v>
      </c>
      <c r="I126" s="23">
        <v>43.988999999999997</v>
      </c>
    </row>
    <row r="127" spans="1:9">
      <c r="A127" s="21" t="s">
        <v>97</v>
      </c>
      <c r="B127" s="22">
        <v>45315</v>
      </c>
      <c r="C127" s="21" t="s">
        <v>98</v>
      </c>
      <c r="D127" s="22">
        <v>45316</v>
      </c>
      <c r="E127" s="23">
        <v>29.99</v>
      </c>
      <c r="F127" s="21">
        <v>5</v>
      </c>
      <c r="G127" s="23">
        <v>2.9990000000000001</v>
      </c>
      <c r="H127" s="23">
        <v>29.99</v>
      </c>
      <c r="I127" s="23">
        <v>32.988999999999997</v>
      </c>
    </row>
    <row r="128" spans="1:9">
      <c r="A128" s="21" t="s">
        <v>99</v>
      </c>
      <c r="B128" s="22">
        <v>45315</v>
      </c>
      <c r="C128" s="21" t="s">
        <v>100</v>
      </c>
      <c r="D128" s="22">
        <v>45317</v>
      </c>
      <c r="E128" s="23">
        <v>79.989999999999995</v>
      </c>
      <c r="F128" s="21">
        <v>2</v>
      </c>
      <c r="G128" s="23">
        <v>7.9989999999999997</v>
      </c>
      <c r="H128" s="23">
        <v>79.989999999999995</v>
      </c>
      <c r="I128" s="23">
        <v>87.989000000000004</v>
      </c>
    </row>
    <row r="129" spans="1:9">
      <c r="A129" s="21" t="s">
        <v>103</v>
      </c>
      <c r="B129" s="22">
        <v>45316</v>
      </c>
      <c r="C129" s="21" t="s">
        <v>104</v>
      </c>
      <c r="D129" s="22">
        <v>45318</v>
      </c>
      <c r="E129" s="23">
        <v>129.99</v>
      </c>
      <c r="F129" s="21">
        <v>1</v>
      </c>
      <c r="G129" s="23">
        <v>12.999000000000001</v>
      </c>
      <c r="H129" s="23">
        <v>129.99</v>
      </c>
      <c r="I129" s="23">
        <v>142.989</v>
      </c>
    </row>
    <row r="130" spans="1:9">
      <c r="A130" s="21" t="s">
        <v>101</v>
      </c>
      <c r="B130" s="22">
        <v>45316</v>
      </c>
      <c r="C130" s="21" t="s">
        <v>102</v>
      </c>
      <c r="D130" s="22">
        <v>45321</v>
      </c>
      <c r="E130" s="23">
        <v>49.99</v>
      </c>
      <c r="F130" s="21">
        <v>3</v>
      </c>
      <c r="G130" s="23">
        <v>4.9989999999999997</v>
      </c>
      <c r="H130" s="23">
        <v>49.99</v>
      </c>
      <c r="I130" s="23">
        <v>54.988999999999997</v>
      </c>
    </row>
    <row r="131" spans="1:9">
      <c r="A131" s="21" t="s">
        <v>107</v>
      </c>
      <c r="B131" s="22">
        <v>45317</v>
      </c>
      <c r="C131" s="21" t="s">
        <v>108</v>
      </c>
      <c r="D131" s="22">
        <v>45319</v>
      </c>
      <c r="E131" s="23">
        <v>149.99</v>
      </c>
      <c r="F131" s="21">
        <v>1</v>
      </c>
      <c r="G131" s="23">
        <v>14.999000000000001</v>
      </c>
      <c r="H131" s="23">
        <v>149.99</v>
      </c>
      <c r="I131" s="23">
        <v>164.989</v>
      </c>
    </row>
    <row r="132" spans="1:9">
      <c r="A132" s="21" t="s">
        <v>105</v>
      </c>
      <c r="B132" s="22">
        <v>45317</v>
      </c>
      <c r="C132" s="21" t="s">
        <v>106</v>
      </c>
      <c r="D132" s="22">
        <v>45320</v>
      </c>
      <c r="E132" s="23">
        <v>19.989999999999998</v>
      </c>
      <c r="F132" s="21">
        <v>4</v>
      </c>
      <c r="G132" s="23">
        <v>1.9990000000000001</v>
      </c>
      <c r="H132" s="23">
        <v>19.989999999999998</v>
      </c>
      <c r="I132" s="23">
        <v>21.989000000000001</v>
      </c>
    </row>
    <row r="133" spans="1:9">
      <c r="A133" s="21" t="s">
        <v>109</v>
      </c>
      <c r="B133" s="22">
        <v>45318</v>
      </c>
      <c r="C133" s="21" t="s">
        <v>110</v>
      </c>
      <c r="D133" s="22">
        <v>45322</v>
      </c>
      <c r="E133" s="23">
        <v>69.989999999999995</v>
      </c>
      <c r="F133" s="21">
        <v>2</v>
      </c>
      <c r="G133" s="23">
        <v>6.9989999999999997</v>
      </c>
      <c r="H133" s="23">
        <v>69.989999999999995</v>
      </c>
      <c r="I133" s="23">
        <v>76.989000000000004</v>
      </c>
    </row>
    <row r="134" spans="1:9">
      <c r="A134" s="21" t="s">
        <v>111</v>
      </c>
      <c r="B134" s="22">
        <v>45318</v>
      </c>
      <c r="C134" s="21" t="s">
        <v>112</v>
      </c>
      <c r="D134" s="22">
        <v>45322</v>
      </c>
      <c r="E134" s="23">
        <v>39.99</v>
      </c>
      <c r="F134" s="21">
        <v>3</v>
      </c>
      <c r="G134" s="23">
        <v>3.9990000000000001</v>
      </c>
      <c r="H134" s="23">
        <v>39.99</v>
      </c>
      <c r="I134" s="23">
        <v>43.988999999999997</v>
      </c>
    </row>
    <row r="135" spans="1:9">
      <c r="A135" s="21" t="s">
        <v>115</v>
      </c>
      <c r="B135" s="22">
        <v>45319</v>
      </c>
      <c r="C135" s="21" t="s">
        <v>116</v>
      </c>
      <c r="D135" s="22">
        <v>45320</v>
      </c>
      <c r="E135" s="23">
        <v>29.99</v>
      </c>
      <c r="F135" s="21">
        <v>5</v>
      </c>
      <c r="G135" s="23">
        <v>2.9990000000000001</v>
      </c>
      <c r="H135" s="23">
        <v>29.99</v>
      </c>
      <c r="I135" s="23">
        <v>32.988999999999997</v>
      </c>
    </row>
    <row r="136" spans="1:9">
      <c r="A136" s="21" t="s">
        <v>113</v>
      </c>
      <c r="B136" s="22">
        <v>45319</v>
      </c>
      <c r="C136" s="21" t="s">
        <v>114</v>
      </c>
      <c r="D136" s="22">
        <v>45320</v>
      </c>
      <c r="E136" s="23">
        <v>199.99</v>
      </c>
      <c r="F136" s="21">
        <v>1</v>
      </c>
      <c r="G136" s="23">
        <v>19.998999999999999</v>
      </c>
      <c r="H136" s="23">
        <v>199.99</v>
      </c>
      <c r="I136" s="23">
        <v>219.989</v>
      </c>
    </row>
    <row r="137" spans="1:9">
      <c r="A137" s="21" t="s">
        <v>117</v>
      </c>
      <c r="B137" s="22">
        <v>45320</v>
      </c>
      <c r="C137" s="21" t="s">
        <v>118</v>
      </c>
      <c r="D137" s="22">
        <v>45321</v>
      </c>
      <c r="E137" s="23">
        <v>79.989999999999995</v>
      </c>
      <c r="F137" s="21">
        <v>2</v>
      </c>
      <c r="G137" s="23">
        <v>7.9989999999999997</v>
      </c>
      <c r="H137" s="23">
        <v>79.989999999999995</v>
      </c>
      <c r="I137" s="23">
        <v>87.989000000000004</v>
      </c>
    </row>
    <row r="138" spans="1:9">
      <c r="A138" s="21" t="s">
        <v>119</v>
      </c>
      <c r="B138" s="22">
        <v>45320</v>
      </c>
      <c r="C138" s="21" t="s">
        <v>90</v>
      </c>
      <c r="D138" s="22">
        <v>45322</v>
      </c>
      <c r="E138" s="23">
        <v>49.99</v>
      </c>
      <c r="F138" s="21">
        <v>3</v>
      </c>
      <c r="G138" s="23">
        <v>4.9989999999999997</v>
      </c>
      <c r="H138" s="23">
        <v>49.99</v>
      </c>
      <c r="I138" s="23">
        <v>54.988999999999997</v>
      </c>
    </row>
    <row r="139" spans="1:9">
      <c r="A139" s="21" t="s">
        <v>120</v>
      </c>
      <c r="B139" s="22">
        <v>45321</v>
      </c>
      <c r="C139" s="21" t="s">
        <v>92</v>
      </c>
      <c r="D139" s="22">
        <v>45322</v>
      </c>
      <c r="E139" s="23">
        <v>129.99</v>
      </c>
      <c r="F139" s="21">
        <v>1</v>
      </c>
      <c r="G139" s="23">
        <v>12.999000000000001</v>
      </c>
      <c r="H139" s="23">
        <v>129.99</v>
      </c>
      <c r="I139" s="23">
        <v>142.989</v>
      </c>
    </row>
    <row r="140" spans="1:9">
      <c r="A140" s="21" t="s">
        <v>121</v>
      </c>
      <c r="B140" s="22">
        <v>45321</v>
      </c>
      <c r="C140" s="21" t="s">
        <v>18</v>
      </c>
      <c r="D140" s="22">
        <v>45323</v>
      </c>
      <c r="E140" s="23">
        <v>19.989999999999998</v>
      </c>
      <c r="F140" s="21">
        <v>4</v>
      </c>
      <c r="G140" s="23">
        <v>1.9990000000000001</v>
      </c>
      <c r="H140" s="23">
        <v>19.989999999999998</v>
      </c>
      <c r="I140" s="23">
        <v>21.989000000000001</v>
      </c>
    </row>
    <row r="141" spans="1:9">
      <c r="A141" s="21" t="s">
        <v>122</v>
      </c>
      <c r="B141" s="22">
        <v>45322</v>
      </c>
      <c r="C141" s="21" t="s">
        <v>95</v>
      </c>
      <c r="D141" s="22">
        <v>45324</v>
      </c>
      <c r="E141" s="23">
        <v>149.99</v>
      </c>
      <c r="F141" s="21">
        <v>1</v>
      </c>
      <c r="G141" s="23">
        <v>14.999000000000001</v>
      </c>
      <c r="H141" s="23">
        <v>149.99</v>
      </c>
      <c r="I141" s="23">
        <v>164.989</v>
      </c>
    </row>
    <row r="142" spans="1:9">
      <c r="A142" s="21" t="s">
        <v>123</v>
      </c>
      <c r="B142" s="22">
        <v>45322</v>
      </c>
      <c r="C142" s="21" t="s">
        <v>50</v>
      </c>
      <c r="D142" s="22">
        <v>45326</v>
      </c>
      <c r="E142" s="23">
        <v>69.989999999999995</v>
      </c>
      <c r="F142" s="21">
        <v>2</v>
      </c>
      <c r="G142" s="23">
        <v>6.9989999999999997</v>
      </c>
      <c r="H142" s="23">
        <v>69.989999999999995</v>
      </c>
      <c r="I142" s="23">
        <v>76.989000000000004</v>
      </c>
    </row>
    <row r="143" spans="1:9">
      <c r="A143" s="21" t="s">
        <v>124</v>
      </c>
      <c r="B143" s="22">
        <v>45323</v>
      </c>
      <c r="C143" s="21" t="s">
        <v>98</v>
      </c>
      <c r="D143" s="22">
        <v>45324</v>
      </c>
      <c r="E143" s="23">
        <v>39.99</v>
      </c>
      <c r="F143" s="21">
        <v>3</v>
      </c>
      <c r="G143" s="23">
        <v>3.9990000000000001</v>
      </c>
      <c r="H143" s="23">
        <v>39.99</v>
      </c>
      <c r="I143" s="23">
        <v>43.988999999999997</v>
      </c>
    </row>
    <row r="144" spans="1:9">
      <c r="A144" s="21" t="s">
        <v>126</v>
      </c>
      <c r="B144" s="22">
        <v>45323</v>
      </c>
      <c r="C144" s="21" t="s">
        <v>102</v>
      </c>
      <c r="D144" s="22">
        <v>45325</v>
      </c>
      <c r="E144" s="23">
        <v>29.99</v>
      </c>
      <c r="F144" s="21">
        <v>5</v>
      </c>
      <c r="G144" s="23">
        <v>2.9990000000000001</v>
      </c>
      <c r="H144" s="23">
        <v>29.99</v>
      </c>
      <c r="I144" s="23">
        <v>32.988999999999997</v>
      </c>
    </row>
    <row r="145" spans="1:9">
      <c r="A145" s="21" t="s">
        <v>125</v>
      </c>
      <c r="B145" s="22">
        <v>45323</v>
      </c>
      <c r="C145" s="21" t="s">
        <v>100</v>
      </c>
      <c r="D145" s="22">
        <v>45327</v>
      </c>
      <c r="E145" s="23">
        <v>199.99</v>
      </c>
      <c r="F145" s="21">
        <v>1</v>
      </c>
      <c r="G145" s="23">
        <v>19.998999999999999</v>
      </c>
      <c r="H145" s="23">
        <v>199.99</v>
      </c>
      <c r="I145" s="23">
        <v>219.989</v>
      </c>
    </row>
    <row r="146" spans="1:9">
      <c r="A146" s="21" t="s">
        <v>127</v>
      </c>
      <c r="B146" s="22">
        <v>45324</v>
      </c>
      <c r="C146" s="21" t="s">
        <v>104</v>
      </c>
      <c r="D146" s="22">
        <v>45328</v>
      </c>
      <c r="E146" s="23">
        <v>79.989999999999995</v>
      </c>
      <c r="F146" s="21">
        <v>2</v>
      </c>
      <c r="G146" s="23">
        <v>7.9989999999999997</v>
      </c>
      <c r="H146" s="23">
        <v>79.989999999999995</v>
      </c>
      <c r="I146" s="23">
        <v>87.989000000000004</v>
      </c>
    </row>
    <row r="147" spans="1:9">
      <c r="A147" s="21" t="s">
        <v>128</v>
      </c>
      <c r="B147" s="22">
        <v>45325</v>
      </c>
      <c r="C147" s="21" t="s">
        <v>106</v>
      </c>
      <c r="D147" s="22">
        <v>45328</v>
      </c>
      <c r="E147" s="23">
        <v>49.99</v>
      </c>
      <c r="F147" s="21">
        <v>3</v>
      </c>
      <c r="G147" s="23">
        <v>4.9989999999999997</v>
      </c>
      <c r="H147" s="23">
        <v>49.99</v>
      </c>
      <c r="I147" s="23">
        <v>54.988999999999997</v>
      </c>
    </row>
    <row r="148" spans="1:9">
      <c r="A148" s="21" t="s">
        <v>129</v>
      </c>
      <c r="B148" s="22">
        <v>45326</v>
      </c>
      <c r="C148" s="21" t="s">
        <v>108</v>
      </c>
      <c r="D148" s="22">
        <v>45327</v>
      </c>
      <c r="E148" s="23">
        <v>129.99</v>
      </c>
      <c r="F148" s="21">
        <v>1</v>
      </c>
      <c r="G148" s="23">
        <v>12.999000000000001</v>
      </c>
      <c r="H148" s="23">
        <v>129.99</v>
      </c>
      <c r="I148" s="23">
        <v>142.989</v>
      </c>
    </row>
    <row r="149" spans="1:9">
      <c r="A149" s="21" t="s">
        <v>131</v>
      </c>
      <c r="B149" s="22">
        <v>45326</v>
      </c>
      <c r="C149" s="21" t="s">
        <v>112</v>
      </c>
      <c r="D149" s="22">
        <v>45329</v>
      </c>
      <c r="E149" s="23">
        <v>149.99</v>
      </c>
      <c r="F149" s="21">
        <v>1</v>
      </c>
      <c r="G149" s="23">
        <v>14.999000000000001</v>
      </c>
      <c r="H149" s="23">
        <v>149.99</v>
      </c>
      <c r="I149" s="23">
        <v>164.989</v>
      </c>
    </row>
    <row r="150" spans="1:9">
      <c r="A150" s="21" t="s">
        <v>130</v>
      </c>
      <c r="B150" s="22">
        <v>45326</v>
      </c>
      <c r="C150" s="21" t="s">
        <v>110</v>
      </c>
      <c r="D150" s="22">
        <v>45330</v>
      </c>
      <c r="E150" s="23">
        <v>19.989999999999998</v>
      </c>
      <c r="F150" s="21">
        <v>4</v>
      </c>
      <c r="G150" s="23">
        <v>1.9990000000000001</v>
      </c>
      <c r="H150" s="23">
        <v>19.989999999999998</v>
      </c>
      <c r="I150" s="23">
        <v>21.989000000000001</v>
      </c>
    </row>
  </sheetData>
  <autoFilter ref="A1:I8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310"/>
  <sheetViews>
    <sheetView showGridLines="0" topLeftCell="A73" workbookViewId="0">
      <selection activeCell="C3" sqref="C3"/>
    </sheetView>
  </sheetViews>
  <sheetFormatPr defaultColWidth="8.875" defaultRowHeight="15"/>
  <cols>
    <col min="1" max="1" width="10.125" style="2" bestFit="1" customWidth="1"/>
    <col min="2" max="2" width="13.625" style="2" customWidth="1"/>
    <col min="3" max="3" width="19.5" style="2" customWidth="1"/>
    <col min="4" max="4" width="13.5" style="2" customWidth="1"/>
    <col min="5" max="5" width="19.5" style="2" customWidth="1"/>
    <col min="6" max="6" width="17.375" style="2" customWidth="1"/>
    <col min="7" max="7" width="11" style="2" customWidth="1"/>
    <col min="8" max="8" width="13.375" style="2" customWidth="1"/>
    <col min="9" max="16384" width="8.875" style="2"/>
  </cols>
  <sheetData>
    <row r="2" spans="1:8" ht="19.5" thickBot="1">
      <c r="A2" s="1" t="s">
        <v>0</v>
      </c>
      <c r="B2" s="1"/>
      <c r="C2" s="1"/>
      <c r="D2" s="1"/>
      <c r="E2" s="1"/>
      <c r="F2" s="1"/>
      <c r="G2" s="1"/>
      <c r="H2" s="1"/>
    </row>
    <row r="4" spans="1:8" ht="19.5" thickBot="1">
      <c r="A4" s="3" t="s">
        <v>1</v>
      </c>
      <c r="B4" s="1"/>
      <c r="C4" s="1"/>
      <c r="D4" s="1"/>
      <c r="E4" s="1"/>
      <c r="F4" s="1"/>
      <c r="G4" s="1"/>
      <c r="H4" s="1"/>
    </row>
    <row r="6" spans="1:8" ht="15.75">
      <c r="G6" s="4" t="s">
        <v>2</v>
      </c>
      <c r="H6" s="5">
        <v>0.1</v>
      </c>
    </row>
    <row r="8" spans="1:8" ht="15.75">
      <c r="A8" s="4" t="s">
        <v>3</v>
      </c>
      <c r="B8" s="4" t="s">
        <v>4</v>
      </c>
      <c r="C8" s="4" t="s">
        <v>5</v>
      </c>
      <c r="D8" s="4" t="s">
        <v>6</v>
      </c>
      <c r="E8" s="4" t="s">
        <v>7</v>
      </c>
      <c r="F8" s="4" t="s">
        <v>8</v>
      </c>
      <c r="G8" s="4" t="s">
        <v>9</v>
      </c>
      <c r="H8" s="6" t="s">
        <v>10</v>
      </c>
    </row>
    <row r="9" spans="1:8">
      <c r="A9" s="7" t="s">
        <v>11</v>
      </c>
      <c r="B9" s="8">
        <v>45292</v>
      </c>
      <c r="C9" s="7" t="s">
        <v>12</v>
      </c>
      <c r="D9" s="8">
        <v>45294</v>
      </c>
      <c r="E9" s="7">
        <v>49.99</v>
      </c>
      <c r="F9" s="7">
        <v>2</v>
      </c>
      <c r="G9" s="7">
        <f t="shared" ref="G9:G40" si="0">E9*F9*$H$6</f>
        <v>9.9980000000000011</v>
      </c>
      <c r="H9" s="7">
        <f>E9*F9+G9</f>
        <v>109.97800000000001</v>
      </c>
    </row>
    <row r="10" spans="1:8">
      <c r="A10" s="7" t="s">
        <v>13</v>
      </c>
      <c r="B10" s="8">
        <v>45292</v>
      </c>
      <c r="C10" s="7" t="s">
        <v>14</v>
      </c>
      <c r="D10" s="8">
        <v>45295</v>
      </c>
      <c r="E10" s="7">
        <v>29.99</v>
      </c>
      <c r="F10" s="7">
        <v>1</v>
      </c>
      <c r="G10" s="7">
        <f t="shared" si="0"/>
        <v>2.9990000000000001</v>
      </c>
      <c r="H10" s="7">
        <f t="shared" ref="H10:H73" si="1">E10*F10+G10</f>
        <v>32.988999999999997</v>
      </c>
    </row>
    <row r="11" spans="1:8">
      <c r="A11" s="7" t="s">
        <v>15</v>
      </c>
      <c r="B11" s="8">
        <v>45293</v>
      </c>
      <c r="C11" s="7" t="s">
        <v>16</v>
      </c>
      <c r="D11" s="8">
        <v>45298</v>
      </c>
      <c r="E11" s="7">
        <v>99.99</v>
      </c>
      <c r="F11" s="7">
        <v>3</v>
      </c>
      <c r="G11" s="7">
        <f t="shared" si="0"/>
        <v>29.997</v>
      </c>
      <c r="H11" s="7">
        <f t="shared" si="1"/>
        <v>329.96699999999998</v>
      </c>
    </row>
    <row r="12" spans="1:8">
      <c r="A12" s="7" t="s">
        <v>17</v>
      </c>
      <c r="B12" s="8">
        <v>45293</v>
      </c>
      <c r="C12" s="7" t="s">
        <v>18</v>
      </c>
      <c r="D12" s="8">
        <v>45294</v>
      </c>
      <c r="E12" s="7">
        <v>19.989999999999998</v>
      </c>
      <c r="F12" s="7">
        <v>4</v>
      </c>
      <c r="G12" s="7">
        <f t="shared" si="0"/>
        <v>7.9959999999999996</v>
      </c>
      <c r="H12" s="7">
        <f t="shared" si="1"/>
        <v>87.955999999999989</v>
      </c>
    </row>
    <row r="13" spans="1:8">
      <c r="A13" s="7" t="s">
        <v>19</v>
      </c>
      <c r="B13" s="8">
        <v>45294</v>
      </c>
      <c r="C13" s="7" t="s">
        <v>20</v>
      </c>
      <c r="D13" s="8">
        <v>45299</v>
      </c>
      <c r="E13" s="7">
        <v>149.99</v>
      </c>
      <c r="F13" s="7">
        <v>1</v>
      </c>
      <c r="G13" s="7">
        <f t="shared" si="0"/>
        <v>14.999000000000002</v>
      </c>
      <c r="H13" s="7">
        <f t="shared" si="1"/>
        <v>164.989</v>
      </c>
    </row>
    <row r="14" spans="1:8">
      <c r="A14" s="7" t="s">
        <v>21</v>
      </c>
      <c r="B14" s="8">
        <v>45294</v>
      </c>
      <c r="C14" s="7" t="s">
        <v>22</v>
      </c>
      <c r="D14" s="8">
        <v>45297</v>
      </c>
      <c r="E14" s="7">
        <v>79.989999999999995</v>
      </c>
      <c r="F14" s="7">
        <v>2</v>
      </c>
      <c r="G14" s="7">
        <f t="shared" si="0"/>
        <v>15.997999999999999</v>
      </c>
      <c r="H14" s="7">
        <f t="shared" si="1"/>
        <v>175.97799999999998</v>
      </c>
    </row>
    <row r="15" spans="1:8">
      <c r="A15" s="7" t="s">
        <v>23</v>
      </c>
      <c r="B15" s="8">
        <v>45295</v>
      </c>
      <c r="C15" s="7" t="s">
        <v>24</v>
      </c>
      <c r="D15" s="8">
        <v>45297</v>
      </c>
      <c r="E15" s="7">
        <v>39.99</v>
      </c>
      <c r="F15" s="7">
        <v>3</v>
      </c>
      <c r="G15" s="7">
        <f t="shared" si="0"/>
        <v>11.997</v>
      </c>
      <c r="H15" s="7">
        <f t="shared" si="1"/>
        <v>131.96699999999998</v>
      </c>
    </row>
    <row r="16" spans="1:8">
      <c r="A16" s="7" t="s">
        <v>25</v>
      </c>
      <c r="B16" s="8">
        <v>45295</v>
      </c>
      <c r="C16" s="7" t="s">
        <v>26</v>
      </c>
      <c r="D16" s="8">
        <v>45300</v>
      </c>
      <c r="E16" s="7">
        <v>69.989999999999995</v>
      </c>
      <c r="F16" s="7">
        <v>2</v>
      </c>
      <c r="G16" s="7">
        <f t="shared" si="0"/>
        <v>13.997999999999999</v>
      </c>
      <c r="H16" s="7">
        <f t="shared" si="1"/>
        <v>153.97799999999998</v>
      </c>
    </row>
    <row r="17" spans="1:8">
      <c r="A17" s="7" t="s">
        <v>27</v>
      </c>
      <c r="B17" s="8">
        <v>45296</v>
      </c>
      <c r="C17" s="7" t="s">
        <v>28</v>
      </c>
      <c r="D17" s="8">
        <v>45297</v>
      </c>
      <c r="E17" s="7">
        <v>89.99</v>
      </c>
      <c r="F17" s="7">
        <v>1</v>
      </c>
      <c r="G17" s="7">
        <f t="shared" si="0"/>
        <v>8.9990000000000006</v>
      </c>
      <c r="H17" s="7">
        <f t="shared" si="1"/>
        <v>98.98899999999999</v>
      </c>
    </row>
    <row r="18" spans="1:8">
      <c r="A18" s="7" t="s">
        <v>29</v>
      </c>
      <c r="B18" s="8">
        <v>45296</v>
      </c>
      <c r="C18" s="7" t="s">
        <v>30</v>
      </c>
      <c r="D18" s="8">
        <v>45299</v>
      </c>
      <c r="E18" s="7">
        <v>199.99</v>
      </c>
      <c r="F18" s="7">
        <v>1</v>
      </c>
      <c r="G18" s="7">
        <f t="shared" si="0"/>
        <v>19.999000000000002</v>
      </c>
      <c r="H18" s="7">
        <f t="shared" si="1"/>
        <v>219.989</v>
      </c>
    </row>
    <row r="19" spans="1:8">
      <c r="A19" s="7" t="s">
        <v>31</v>
      </c>
      <c r="B19" s="8">
        <v>45297</v>
      </c>
      <c r="C19" s="7" t="s">
        <v>32</v>
      </c>
      <c r="D19" s="8">
        <v>45298</v>
      </c>
      <c r="E19" s="7">
        <v>29.99</v>
      </c>
      <c r="F19" s="7">
        <v>5</v>
      </c>
      <c r="G19" s="7">
        <f t="shared" si="0"/>
        <v>14.994999999999999</v>
      </c>
      <c r="H19" s="7">
        <f t="shared" si="1"/>
        <v>164.94499999999999</v>
      </c>
    </row>
    <row r="20" spans="1:8">
      <c r="A20" s="7" t="s">
        <v>33</v>
      </c>
      <c r="B20" s="8">
        <v>45297</v>
      </c>
      <c r="C20" s="7" t="s">
        <v>34</v>
      </c>
      <c r="D20" s="8">
        <v>45299</v>
      </c>
      <c r="E20" s="7">
        <v>79.989999999999995</v>
      </c>
      <c r="F20" s="7">
        <v>2</v>
      </c>
      <c r="G20" s="7">
        <f t="shared" si="0"/>
        <v>15.997999999999999</v>
      </c>
      <c r="H20" s="7">
        <f t="shared" si="1"/>
        <v>175.97799999999998</v>
      </c>
    </row>
    <row r="21" spans="1:8">
      <c r="A21" s="7" t="s">
        <v>35</v>
      </c>
      <c r="B21" s="8">
        <v>45298</v>
      </c>
      <c r="C21" s="7" t="s">
        <v>36</v>
      </c>
      <c r="D21" s="8">
        <v>45300</v>
      </c>
      <c r="E21" s="7">
        <v>49.99</v>
      </c>
      <c r="F21" s="7">
        <v>3</v>
      </c>
      <c r="G21" s="7">
        <f t="shared" si="0"/>
        <v>14.997</v>
      </c>
      <c r="H21" s="7">
        <f t="shared" si="1"/>
        <v>164.96699999999998</v>
      </c>
    </row>
    <row r="22" spans="1:8">
      <c r="A22" s="7" t="s">
        <v>37</v>
      </c>
      <c r="B22" s="8">
        <v>45298</v>
      </c>
      <c r="C22" s="7" t="s">
        <v>38</v>
      </c>
      <c r="D22" s="8">
        <v>45303</v>
      </c>
      <c r="E22" s="7">
        <v>129.99</v>
      </c>
      <c r="F22" s="7">
        <v>1</v>
      </c>
      <c r="G22" s="7">
        <f t="shared" si="0"/>
        <v>12.999000000000002</v>
      </c>
      <c r="H22" s="7">
        <f t="shared" si="1"/>
        <v>142.989</v>
      </c>
    </row>
    <row r="23" spans="1:8">
      <c r="A23" s="7" t="s">
        <v>39</v>
      </c>
      <c r="B23" s="8">
        <v>45299</v>
      </c>
      <c r="C23" s="7" t="s">
        <v>40</v>
      </c>
      <c r="D23" s="8">
        <v>45304</v>
      </c>
      <c r="E23" s="7">
        <v>19.989999999999998</v>
      </c>
      <c r="F23" s="7">
        <v>4</v>
      </c>
      <c r="G23" s="7">
        <f t="shared" si="0"/>
        <v>7.9959999999999996</v>
      </c>
      <c r="H23" s="7">
        <f t="shared" si="1"/>
        <v>87.955999999999989</v>
      </c>
    </row>
    <row r="24" spans="1:8">
      <c r="A24" s="7" t="s">
        <v>41</v>
      </c>
      <c r="B24" s="8">
        <v>45299</v>
      </c>
      <c r="C24" s="7" t="s">
        <v>42</v>
      </c>
      <c r="D24" s="8">
        <v>45303</v>
      </c>
      <c r="E24" s="7">
        <v>149.99</v>
      </c>
      <c r="F24" s="7">
        <v>1</v>
      </c>
      <c r="G24" s="7">
        <f t="shared" si="0"/>
        <v>14.999000000000002</v>
      </c>
      <c r="H24" s="7">
        <f t="shared" si="1"/>
        <v>164.989</v>
      </c>
    </row>
    <row r="25" spans="1:8">
      <c r="A25" s="7" t="s">
        <v>43</v>
      </c>
      <c r="B25" s="8">
        <v>45300</v>
      </c>
      <c r="C25" s="7" t="s">
        <v>44</v>
      </c>
      <c r="D25" s="8">
        <v>45305</v>
      </c>
      <c r="E25" s="7">
        <v>69.989999999999995</v>
      </c>
      <c r="F25" s="7">
        <v>2</v>
      </c>
      <c r="G25" s="7">
        <f t="shared" si="0"/>
        <v>13.997999999999999</v>
      </c>
      <c r="H25" s="7">
        <f t="shared" si="1"/>
        <v>153.97799999999998</v>
      </c>
    </row>
    <row r="26" spans="1:8">
      <c r="A26" s="7" t="s">
        <v>45</v>
      </c>
      <c r="B26" s="8">
        <v>45300</v>
      </c>
      <c r="C26" s="7" t="s">
        <v>46</v>
      </c>
      <c r="D26" s="8">
        <v>45303</v>
      </c>
      <c r="E26" s="7">
        <v>39.99</v>
      </c>
      <c r="F26" s="7">
        <v>3</v>
      </c>
      <c r="G26" s="7">
        <f t="shared" si="0"/>
        <v>11.997</v>
      </c>
      <c r="H26" s="7">
        <f t="shared" si="1"/>
        <v>131.96699999999998</v>
      </c>
    </row>
    <row r="27" spans="1:8">
      <c r="A27" s="7" t="s">
        <v>47</v>
      </c>
      <c r="B27" s="8">
        <v>45301</v>
      </c>
      <c r="C27" s="7" t="s">
        <v>48</v>
      </c>
      <c r="D27" s="8">
        <v>45302</v>
      </c>
      <c r="E27" s="7">
        <v>199.99</v>
      </c>
      <c r="F27" s="7">
        <v>1</v>
      </c>
      <c r="G27" s="7">
        <f t="shared" si="0"/>
        <v>19.999000000000002</v>
      </c>
      <c r="H27" s="7">
        <f t="shared" si="1"/>
        <v>219.989</v>
      </c>
    </row>
    <row r="28" spans="1:8">
      <c r="A28" s="7" t="s">
        <v>49</v>
      </c>
      <c r="B28" s="8">
        <v>45301</v>
      </c>
      <c r="C28" s="7" t="s">
        <v>50</v>
      </c>
      <c r="D28" s="8">
        <v>45305</v>
      </c>
      <c r="E28" s="7">
        <v>29.99</v>
      </c>
      <c r="F28" s="7">
        <v>5</v>
      </c>
      <c r="G28" s="7">
        <f t="shared" si="0"/>
        <v>14.994999999999999</v>
      </c>
      <c r="H28" s="7">
        <f t="shared" si="1"/>
        <v>164.94499999999999</v>
      </c>
    </row>
    <row r="29" spans="1:8">
      <c r="A29" s="7" t="s">
        <v>51</v>
      </c>
      <c r="B29" s="8">
        <v>45302</v>
      </c>
      <c r="C29" s="7" t="s">
        <v>52</v>
      </c>
      <c r="D29" s="8">
        <v>45305</v>
      </c>
      <c r="E29" s="7">
        <v>79.989999999999995</v>
      </c>
      <c r="F29" s="7">
        <v>2</v>
      </c>
      <c r="G29" s="7">
        <f t="shared" si="0"/>
        <v>15.997999999999999</v>
      </c>
      <c r="H29" s="7">
        <f t="shared" si="1"/>
        <v>175.97799999999998</v>
      </c>
    </row>
    <row r="30" spans="1:8">
      <c r="A30" s="7" t="s">
        <v>53</v>
      </c>
      <c r="B30" s="8">
        <v>45302</v>
      </c>
      <c r="C30" s="7" t="s">
        <v>54</v>
      </c>
      <c r="D30" s="8">
        <v>45306</v>
      </c>
      <c r="E30" s="7">
        <v>49.99</v>
      </c>
      <c r="F30" s="7">
        <v>3</v>
      </c>
      <c r="G30" s="7">
        <f t="shared" si="0"/>
        <v>14.997</v>
      </c>
      <c r="H30" s="7">
        <f t="shared" si="1"/>
        <v>164.96699999999998</v>
      </c>
    </row>
    <row r="31" spans="1:8">
      <c r="A31" s="7" t="s">
        <v>55</v>
      </c>
      <c r="B31" s="8">
        <v>45303</v>
      </c>
      <c r="C31" s="7" t="s">
        <v>56</v>
      </c>
      <c r="D31" s="8">
        <v>45308</v>
      </c>
      <c r="E31" s="7">
        <v>129.99</v>
      </c>
      <c r="F31" s="7">
        <v>1</v>
      </c>
      <c r="G31" s="7">
        <f t="shared" si="0"/>
        <v>12.999000000000002</v>
      </c>
      <c r="H31" s="7">
        <f t="shared" si="1"/>
        <v>142.989</v>
      </c>
    </row>
    <row r="32" spans="1:8">
      <c r="A32" s="7" t="s">
        <v>57</v>
      </c>
      <c r="B32" s="8">
        <v>45303</v>
      </c>
      <c r="C32" s="7" t="s">
        <v>58</v>
      </c>
      <c r="D32" s="8">
        <v>45308</v>
      </c>
      <c r="E32" s="7">
        <v>19.989999999999998</v>
      </c>
      <c r="F32" s="7">
        <v>4</v>
      </c>
      <c r="G32" s="7">
        <f t="shared" si="0"/>
        <v>7.9959999999999996</v>
      </c>
      <c r="H32" s="7">
        <f t="shared" si="1"/>
        <v>87.955999999999989</v>
      </c>
    </row>
    <row r="33" spans="1:8">
      <c r="A33" s="7" t="s">
        <v>59</v>
      </c>
      <c r="B33" s="8">
        <v>45304</v>
      </c>
      <c r="C33" s="7" t="s">
        <v>20</v>
      </c>
      <c r="D33" s="8">
        <v>45308</v>
      </c>
      <c r="E33" s="7">
        <v>149.99</v>
      </c>
      <c r="F33" s="7">
        <v>1</v>
      </c>
      <c r="G33" s="7">
        <f t="shared" si="0"/>
        <v>14.999000000000002</v>
      </c>
      <c r="H33" s="7">
        <f t="shared" si="1"/>
        <v>164.989</v>
      </c>
    </row>
    <row r="34" spans="1:8">
      <c r="A34" s="7" t="s">
        <v>60</v>
      </c>
      <c r="B34" s="8">
        <v>45304</v>
      </c>
      <c r="C34" s="7" t="s">
        <v>61</v>
      </c>
      <c r="D34" s="8">
        <v>45305</v>
      </c>
      <c r="E34" s="7">
        <v>69.989999999999995</v>
      </c>
      <c r="F34" s="7">
        <v>2</v>
      </c>
      <c r="G34" s="7">
        <f t="shared" si="0"/>
        <v>13.997999999999999</v>
      </c>
      <c r="H34" s="7">
        <f t="shared" si="1"/>
        <v>153.97799999999998</v>
      </c>
    </row>
    <row r="35" spans="1:8">
      <c r="A35" s="7" t="s">
        <v>62</v>
      </c>
      <c r="B35" s="8">
        <v>45305</v>
      </c>
      <c r="C35" s="7" t="s">
        <v>63</v>
      </c>
      <c r="D35" s="8">
        <v>45309</v>
      </c>
      <c r="E35" s="7">
        <v>39.99</v>
      </c>
      <c r="F35" s="7">
        <v>3</v>
      </c>
      <c r="G35" s="7">
        <f t="shared" si="0"/>
        <v>11.997</v>
      </c>
      <c r="H35" s="7">
        <f t="shared" si="1"/>
        <v>131.96699999999998</v>
      </c>
    </row>
    <row r="36" spans="1:8">
      <c r="A36" s="7" t="s">
        <v>64</v>
      </c>
      <c r="B36" s="8">
        <v>45305</v>
      </c>
      <c r="C36" s="7" t="s">
        <v>65</v>
      </c>
      <c r="D36" s="8">
        <v>45310</v>
      </c>
      <c r="E36" s="7">
        <v>199.99</v>
      </c>
      <c r="F36" s="7">
        <v>1</v>
      </c>
      <c r="G36" s="7">
        <f t="shared" si="0"/>
        <v>19.999000000000002</v>
      </c>
      <c r="H36" s="7">
        <f t="shared" si="1"/>
        <v>219.989</v>
      </c>
    </row>
    <row r="37" spans="1:8">
      <c r="A37" s="7" t="s">
        <v>66</v>
      </c>
      <c r="B37" s="8">
        <v>45306</v>
      </c>
      <c r="C37" s="7" t="s">
        <v>67</v>
      </c>
      <c r="D37" s="8">
        <v>45310</v>
      </c>
      <c r="E37" s="7">
        <v>29.99</v>
      </c>
      <c r="F37" s="7">
        <v>5</v>
      </c>
      <c r="G37" s="7">
        <f t="shared" si="0"/>
        <v>14.994999999999999</v>
      </c>
      <c r="H37" s="7">
        <f t="shared" si="1"/>
        <v>164.94499999999999</v>
      </c>
    </row>
    <row r="38" spans="1:8">
      <c r="A38" s="7" t="s">
        <v>68</v>
      </c>
      <c r="B38" s="8">
        <v>45306</v>
      </c>
      <c r="C38" s="7" t="s">
        <v>69</v>
      </c>
      <c r="D38" s="8">
        <v>45310</v>
      </c>
      <c r="E38" s="7">
        <v>79.989999999999995</v>
      </c>
      <c r="F38" s="7">
        <v>2</v>
      </c>
      <c r="G38" s="7">
        <f t="shared" si="0"/>
        <v>15.997999999999999</v>
      </c>
      <c r="H38" s="7">
        <f t="shared" si="1"/>
        <v>175.97799999999998</v>
      </c>
    </row>
    <row r="39" spans="1:8">
      <c r="A39" s="7" t="s">
        <v>70</v>
      </c>
      <c r="B39" s="8">
        <v>45307</v>
      </c>
      <c r="C39" s="7" t="s">
        <v>71</v>
      </c>
      <c r="D39" s="8">
        <v>45310</v>
      </c>
      <c r="E39" s="7">
        <v>49.99</v>
      </c>
      <c r="F39" s="7">
        <v>3</v>
      </c>
      <c r="G39" s="7">
        <f t="shared" si="0"/>
        <v>14.997</v>
      </c>
      <c r="H39" s="7">
        <f t="shared" si="1"/>
        <v>164.96699999999998</v>
      </c>
    </row>
    <row r="40" spans="1:8">
      <c r="A40" s="7" t="s">
        <v>72</v>
      </c>
      <c r="B40" s="8">
        <v>45307</v>
      </c>
      <c r="C40" s="7" t="s">
        <v>73</v>
      </c>
      <c r="D40" s="8">
        <v>45308</v>
      </c>
      <c r="E40" s="7">
        <v>129.99</v>
      </c>
      <c r="F40" s="7">
        <v>1</v>
      </c>
      <c r="G40" s="7">
        <f t="shared" si="0"/>
        <v>12.999000000000002</v>
      </c>
      <c r="H40" s="7">
        <f t="shared" si="1"/>
        <v>142.989</v>
      </c>
    </row>
    <row r="41" spans="1:8">
      <c r="A41" s="7" t="s">
        <v>74</v>
      </c>
      <c r="B41" s="8">
        <v>45308</v>
      </c>
      <c r="C41" s="7" t="s">
        <v>75</v>
      </c>
      <c r="D41" s="8">
        <v>45310</v>
      </c>
      <c r="E41" s="7">
        <v>19.989999999999998</v>
      </c>
      <c r="F41" s="7">
        <v>4</v>
      </c>
      <c r="G41" s="7">
        <f t="shared" ref="G41:G72" si="2">E41*F41*$H$6</f>
        <v>7.9959999999999996</v>
      </c>
      <c r="H41" s="7">
        <f t="shared" si="1"/>
        <v>87.955999999999989</v>
      </c>
    </row>
    <row r="42" spans="1:8">
      <c r="A42" s="7" t="s">
        <v>76</v>
      </c>
      <c r="B42" s="8">
        <v>45308</v>
      </c>
      <c r="C42" s="7" t="s">
        <v>77</v>
      </c>
      <c r="D42" s="8">
        <v>45310</v>
      </c>
      <c r="E42" s="7">
        <v>149.99</v>
      </c>
      <c r="F42" s="7">
        <v>1</v>
      </c>
      <c r="G42" s="7">
        <f t="shared" si="2"/>
        <v>14.999000000000002</v>
      </c>
      <c r="H42" s="7">
        <f t="shared" si="1"/>
        <v>164.989</v>
      </c>
    </row>
    <row r="43" spans="1:8">
      <c r="A43" s="7" t="s">
        <v>78</v>
      </c>
      <c r="B43" s="8">
        <v>45309</v>
      </c>
      <c r="C43" s="7" t="s">
        <v>79</v>
      </c>
      <c r="D43" s="8">
        <v>45314</v>
      </c>
      <c r="E43" s="7">
        <v>69.989999999999995</v>
      </c>
      <c r="F43" s="7">
        <v>2</v>
      </c>
      <c r="G43" s="7">
        <f t="shared" si="2"/>
        <v>13.997999999999999</v>
      </c>
      <c r="H43" s="7">
        <f t="shared" si="1"/>
        <v>153.97799999999998</v>
      </c>
    </row>
    <row r="44" spans="1:8">
      <c r="A44" s="7" t="s">
        <v>80</v>
      </c>
      <c r="B44" s="8">
        <v>45309</v>
      </c>
      <c r="C44" s="7" t="s">
        <v>81</v>
      </c>
      <c r="D44" s="8">
        <v>45310</v>
      </c>
      <c r="E44" s="7">
        <v>39.99</v>
      </c>
      <c r="F44" s="7">
        <v>3</v>
      </c>
      <c r="G44" s="7">
        <f t="shared" si="2"/>
        <v>11.997</v>
      </c>
      <c r="H44" s="7">
        <f t="shared" si="1"/>
        <v>131.96699999999998</v>
      </c>
    </row>
    <row r="45" spans="1:8">
      <c r="A45" s="7" t="s">
        <v>82</v>
      </c>
      <c r="B45" s="8">
        <v>45310</v>
      </c>
      <c r="C45" s="7" t="s">
        <v>83</v>
      </c>
      <c r="D45" s="8">
        <v>45311</v>
      </c>
      <c r="E45" s="7">
        <v>199.99</v>
      </c>
      <c r="F45" s="7">
        <v>1</v>
      </c>
      <c r="G45" s="7">
        <f t="shared" si="2"/>
        <v>19.999000000000002</v>
      </c>
      <c r="H45" s="7">
        <f t="shared" si="1"/>
        <v>219.989</v>
      </c>
    </row>
    <row r="46" spans="1:8">
      <c r="A46" s="7" t="s">
        <v>84</v>
      </c>
      <c r="B46" s="8">
        <v>45310</v>
      </c>
      <c r="C46" s="7" t="s">
        <v>85</v>
      </c>
      <c r="D46" s="8">
        <v>45313</v>
      </c>
      <c r="E46" s="7">
        <v>29.99</v>
      </c>
      <c r="F46" s="7">
        <v>5</v>
      </c>
      <c r="G46" s="7">
        <f t="shared" si="2"/>
        <v>14.994999999999999</v>
      </c>
      <c r="H46" s="7">
        <f t="shared" si="1"/>
        <v>164.94499999999999</v>
      </c>
    </row>
    <row r="47" spans="1:8">
      <c r="A47" s="7" t="s">
        <v>86</v>
      </c>
      <c r="B47" s="8">
        <v>45311</v>
      </c>
      <c r="C47" s="7" t="s">
        <v>16</v>
      </c>
      <c r="D47" s="8">
        <v>45315</v>
      </c>
      <c r="E47" s="7">
        <v>79.989999999999995</v>
      </c>
      <c r="F47" s="7">
        <v>2</v>
      </c>
      <c r="G47" s="7">
        <f t="shared" si="2"/>
        <v>15.997999999999999</v>
      </c>
      <c r="H47" s="7">
        <f t="shared" si="1"/>
        <v>175.97799999999998</v>
      </c>
    </row>
    <row r="48" spans="1:8">
      <c r="A48" s="7" t="s">
        <v>87</v>
      </c>
      <c r="B48" s="8">
        <v>45311</v>
      </c>
      <c r="C48" s="7" t="s">
        <v>58</v>
      </c>
      <c r="D48" s="8">
        <v>45312</v>
      </c>
      <c r="E48" s="7">
        <v>49.99</v>
      </c>
      <c r="F48" s="7">
        <v>3</v>
      </c>
      <c r="G48" s="7">
        <f t="shared" si="2"/>
        <v>14.997</v>
      </c>
      <c r="H48" s="7">
        <f t="shared" si="1"/>
        <v>164.96699999999998</v>
      </c>
    </row>
    <row r="49" spans="1:8">
      <c r="A49" s="7" t="s">
        <v>88</v>
      </c>
      <c r="B49" s="8">
        <v>45312</v>
      </c>
      <c r="C49" s="7" t="s">
        <v>20</v>
      </c>
      <c r="D49" s="8">
        <v>45317</v>
      </c>
      <c r="E49" s="7">
        <v>129.99</v>
      </c>
      <c r="F49" s="7">
        <v>1</v>
      </c>
      <c r="G49" s="7">
        <f t="shared" si="2"/>
        <v>12.999000000000002</v>
      </c>
      <c r="H49" s="7">
        <f t="shared" si="1"/>
        <v>142.989</v>
      </c>
    </row>
    <row r="50" spans="1:8">
      <c r="A50" s="7" t="s">
        <v>89</v>
      </c>
      <c r="B50" s="8">
        <v>45312</v>
      </c>
      <c r="C50" s="7" t="s">
        <v>90</v>
      </c>
      <c r="D50" s="8">
        <v>45314</v>
      </c>
      <c r="E50" s="7">
        <v>19.989999999999998</v>
      </c>
      <c r="F50" s="7">
        <v>4</v>
      </c>
      <c r="G50" s="7">
        <f t="shared" si="2"/>
        <v>7.9959999999999996</v>
      </c>
      <c r="H50" s="7">
        <f t="shared" si="1"/>
        <v>87.955999999999989</v>
      </c>
    </row>
    <row r="51" spans="1:8">
      <c r="A51" s="7" t="s">
        <v>91</v>
      </c>
      <c r="B51" s="8">
        <v>45313</v>
      </c>
      <c r="C51" s="7" t="s">
        <v>92</v>
      </c>
      <c r="D51" s="8">
        <v>45316</v>
      </c>
      <c r="E51" s="7">
        <v>149.99</v>
      </c>
      <c r="F51" s="7">
        <v>1</v>
      </c>
      <c r="G51" s="7">
        <f t="shared" si="2"/>
        <v>14.999000000000002</v>
      </c>
      <c r="H51" s="7">
        <f t="shared" si="1"/>
        <v>164.989</v>
      </c>
    </row>
    <row r="52" spans="1:8">
      <c r="A52" s="7" t="s">
        <v>93</v>
      </c>
      <c r="B52" s="8">
        <v>45313</v>
      </c>
      <c r="C52" s="7" t="s">
        <v>18</v>
      </c>
      <c r="D52" s="8">
        <v>45316</v>
      </c>
      <c r="E52" s="7">
        <v>69.989999999999995</v>
      </c>
      <c r="F52" s="7">
        <v>2</v>
      </c>
      <c r="G52" s="7">
        <f t="shared" si="2"/>
        <v>13.997999999999999</v>
      </c>
      <c r="H52" s="7">
        <f t="shared" si="1"/>
        <v>153.97799999999998</v>
      </c>
    </row>
    <row r="53" spans="1:8">
      <c r="A53" s="7" t="s">
        <v>94</v>
      </c>
      <c r="B53" s="8">
        <v>45314</v>
      </c>
      <c r="C53" s="7" t="s">
        <v>95</v>
      </c>
      <c r="D53" s="8">
        <v>45318</v>
      </c>
      <c r="E53" s="7">
        <v>39.99</v>
      </c>
      <c r="F53" s="7">
        <v>3</v>
      </c>
      <c r="G53" s="7">
        <f t="shared" si="2"/>
        <v>11.997</v>
      </c>
      <c r="H53" s="7">
        <f t="shared" si="1"/>
        <v>131.96699999999998</v>
      </c>
    </row>
    <row r="54" spans="1:8">
      <c r="A54" s="7" t="s">
        <v>96</v>
      </c>
      <c r="B54" s="8">
        <v>45314</v>
      </c>
      <c r="C54" s="7" t="s">
        <v>50</v>
      </c>
      <c r="D54" s="8">
        <v>45317</v>
      </c>
      <c r="E54" s="7">
        <v>199.99</v>
      </c>
      <c r="F54" s="7">
        <v>1</v>
      </c>
      <c r="G54" s="7">
        <f t="shared" si="2"/>
        <v>19.999000000000002</v>
      </c>
      <c r="H54" s="7">
        <f t="shared" si="1"/>
        <v>219.989</v>
      </c>
    </row>
    <row r="55" spans="1:8">
      <c r="A55" s="7" t="s">
        <v>97</v>
      </c>
      <c r="B55" s="8">
        <v>45315</v>
      </c>
      <c r="C55" s="7" t="s">
        <v>98</v>
      </c>
      <c r="D55" s="8">
        <v>45316</v>
      </c>
      <c r="E55" s="7">
        <v>29.99</v>
      </c>
      <c r="F55" s="7">
        <v>5</v>
      </c>
      <c r="G55" s="7">
        <f t="shared" si="2"/>
        <v>14.994999999999999</v>
      </c>
      <c r="H55" s="7">
        <f t="shared" si="1"/>
        <v>164.94499999999999</v>
      </c>
    </row>
    <row r="56" spans="1:8">
      <c r="A56" s="7" t="s">
        <v>99</v>
      </c>
      <c r="B56" s="8">
        <v>45315</v>
      </c>
      <c r="C56" s="7" t="s">
        <v>100</v>
      </c>
      <c r="D56" s="8">
        <v>45317</v>
      </c>
      <c r="E56" s="7">
        <v>79.989999999999995</v>
      </c>
      <c r="F56" s="7">
        <v>2</v>
      </c>
      <c r="G56" s="7">
        <f t="shared" si="2"/>
        <v>15.997999999999999</v>
      </c>
      <c r="H56" s="7">
        <f t="shared" si="1"/>
        <v>175.97799999999998</v>
      </c>
    </row>
    <row r="57" spans="1:8">
      <c r="A57" s="7" t="s">
        <v>101</v>
      </c>
      <c r="B57" s="8">
        <v>45316</v>
      </c>
      <c r="C57" s="7" t="s">
        <v>102</v>
      </c>
      <c r="D57" s="8">
        <v>45321</v>
      </c>
      <c r="E57" s="7">
        <v>49.99</v>
      </c>
      <c r="F57" s="7">
        <v>3</v>
      </c>
      <c r="G57" s="7">
        <f t="shared" si="2"/>
        <v>14.997</v>
      </c>
      <c r="H57" s="7">
        <f t="shared" si="1"/>
        <v>164.96699999999998</v>
      </c>
    </row>
    <row r="58" spans="1:8">
      <c r="A58" s="7" t="s">
        <v>103</v>
      </c>
      <c r="B58" s="8">
        <v>45316</v>
      </c>
      <c r="C58" s="7" t="s">
        <v>104</v>
      </c>
      <c r="D58" s="8">
        <v>45318</v>
      </c>
      <c r="E58" s="7">
        <v>129.99</v>
      </c>
      <c r="F58" s="7">
        <v>1</v>
      </c>
      <c r="G58" s="7">
        <f t="shared" si="2"/>
        <v>12.999000000000002</v>
      </c>
      <c r="H58" s="7">
        <f t="shared" si="1"/>
        <v>142.989</v>
      </c>
    </row>
    <row r="59" spans="1:8">
      <c r="A59" s="7" t="s">
        <v>105</v>
      </c>
      <c r="B59" s="8">
        <v>45317</v>
      </c>
      <c r="C59" s="7" t="s">
        <v>106</v>
      </c>
      <c r="D59" s="8">
        <v>45320</v>
      </c>
      <c r="E59" s="7">
        <v>19.989999999999998</v>
      </c>
      <c r="F59" s="7">
        <v>4</v>
      </c>
      <c r="G59" s="7">
        <f t="shared" si="2"/>
        <v>7.9959999999999996</v>
      </c>
      <c r="H59" s="7">
        <f t="shared" si="1"/>
        <v>87.955999999999989</v>
      </c>
    </row>
    <row r="60" spans="1:8">
      <c r="A60" s="7" t="s">
        <v>107</v>
      </c>
      <c r="B60" s="8">
        <v>45317</v>
      </c>
      <c r="C60" s="7" t="s">
        <v>108</v>
      </c>
      <c r="D60" s="8">
        <v>45319</v>
      </c>
      <c r="E60" s="7">
        <v>149.99</v>
      </c>
      <c r="F60" s="7">
        <v>1</v>
      </c>
      <c r="G60" s="7">
        <f t="shared" si="2"/>
        <v>14.999000000000002</v>
      </c>
      <c r="H60" s="7">
        <f t="shared" si="1"/>
        <v>164.989</v>
      </c>
    </row>
    <row r="61" spans="1:8">
      <c r="A61" s="7" t="s">
        <v>109</v>
      </c>
      <c r="B61" s="8">
        <v>45318</v>
      </c>
      <c r="C61" s="7" t="s">
        <v>110</v>
      </c>
      <c r="D61" s="8">
        <v>45322</v>
      </c>
      <c r="E61" s="7">
        <v>69.989999999999995</v>
      </c>
      <c r="F61" s="7">
        <v>2</v>
      </c>
      <c r="G61" s="7">
        <f t="shared" si="2"/>
        <v>13.997999999999999</v>
      </c>
      <c r="H61" s="7">
        <f t="shared" si="1"/>
        <v>153.97799999999998</v>
      </c>
    </row>
    <row r="62" spans="1:8">
      <c r="A62" s="7" t="s">
        <v>111</v>
      </c>
      <c r="B62" s="8">
        <v>45318</v>
      </c>
      <c r="C62" s="7" t="s">
        <v>112</v>
      </c>
      <c r="D62" s="8">
        <v>45322</v>
      </c>
      <c r="E62" s="7">
        <v>39.99</v>
      </c>
      <c r="F62" s="7">
        <v>3</v>
      </c>
      <c r="G62" s="7">
        <f t="shared" si="2"/>
        <v>11.997</v>
      </c>
      <c r="H62" s="7">
        <f t="shared" si="1"/>
        <v>131.96699999999998</v>
      </c>
    </row>
    <row r="63" spans="1:8">
      <c r="A63" s="7" t="s">
        <v>113</v>
      </c>
      <c r="B63" s="8">
        <v>45319</v>
      </c>
      <c r="C63" s="7" t="s">
        <v>114</v>
      </c>
      <c r="D63" s="8">
        <v>45320</v>
      </c>
      <c r="E63" s="7">
        <v>199.99</v>
      </c>
      <c r="F63" s="7">
        <v>1</v>
      </c>
      <c r="G63" s="7">
        <f t="shared" si="2"/>
        <v>19.999000000000002</v>
      </c>
      <c r="H63" s="7">
        <f t="shared" si="1"/>
        <v>219.989</v>
      </c>
    </row>
    <row r="64" spans="1:8">
      <c r="A64" s="7" t="s">
        <v>115</v>
      </c>
      <c r="B64" s="8">
        <v>45319</v>
      </c>
      <c r="C64" s="7" t="s">
        <v>116</v>
      </c>
      <c r="D64" s="8">
        <v>45320</v>
      </c>
      <c r="E64" s="7">
        <v>29.99</v>
      </c>
      <c r="F64" s="7">
        <v>5</v>
      </c>
      <c r="G64" s="7">
        <f t="shared" si="2"/>
        <v>14.994999999999999</v>
      </c>
      <c r="H64" s="7">
        <f t="shared" si="1"/>
        <v>164.94499999999999</v>
      </c>
    </row>
    <row r="65" spans="1:8">
      <c r="A65" s="7" t="s">
        <v>117</v>
      </c>
      <c r="B65" s="8">
        <v>45320</v>
      </c>
      <c r="C65" s="7" t="s">
        <v>118</v>
      </c>
      <c r="D65" s="8">
        <v>45321</v>
      </c>
      <c r="E65" s="7">
        <v>79.989999999999995</v>
      </c>
      <c r="F65" s="7">
        <v>2</v>
      </c>
      <c r="G65" s="7">
        <f t="shared" si="2"/>
        <v>15.997999999999999</v>
      </c>
      <c r="H65" s="7">
        <f t="shared" si="1"/>
        <v>175.97799999999998</v>
      </c>
    </row>
    <row r="66" spans="1:8">
      <c r="A66" s="7" t="s">
        <v>119</v>
      </c>
      <c r="B66" s="8">
        <v>45320</v>
      </c>
      <c r="C66" s="7" t="s">
        <v>90</v>
      </c>
      <c r="D66" s="8">
        <v>45322</v>
      </c>
      <c r="E66" s="7">
        <v>49.99</v>
      </c>
      <c r="F66" s="7">
        <v>3</v>
      </c>
      <c r="G66" s="7">
        <f t="shared" si="2"/>
        <v>14.997</v>
      </c>
      <c r="H66" s="7">
        <f t="shared" si="1"/>
        <v>164.96699999999998</v>
      </c>
    </row>
    <row r="67" spans="1:8">
      <c r="A67" s="7" t="s">
        <v>120</v>
      </c>
      <c r="B67" s="8">
        <v>45321</v>
      </c>
      <c r="C67" s="7" t="s">
        <v>92</v>
      </c>
      <c r="D67" s="8">
        <v>45322</v>
      </c>
      <c r="E67" s="7">
        <v>129.99</v>
      </c>
      <c r="F67" s="7">
        <v>1</v>
      </c>
      <c r="G67" s="7">
        <f t="shared" si="2"/>
        <v>12.999000000000002</v>
      </c>
      <c r="H67" s="7">
        <f t="shared" si="1"/>
        <v>142.989</v>
      </c>
    </row>
    <row r="68" spans="1:8">
      <c r="A68" s="7" t="s">
        <v>121</v>
      </c>
      <c r="B68" s="8">
        <v>45321</v>
      </c>
      <c r="C68" s="7" t="s">
        <v>18</v>
      </c>
      <c r="D68" s="8">
        <v>45323</v>
      </c>
      <c r="E68" s="7">
        <v>19.989999999999998</v>
      </c>
      <c r="F68" s="7">
        <v>4</v>
      </c>
      <c r="G68" s="7">
        <f t="shared" si="2"/>
        <v>7.9959999999999996</v>
      </c>
      <c r="H68" s="7">
        <f t="shared" si="1"/>
        <v>87.955999999999989</v>
      </c>
    </row>
    <row r="69" spans="1:8">
      <c r="A69" s="7" t="s">
        <v>122</v>
      </c>
      <c r="B69" s="8">
        <v>45322</v>
      </c>
      <c r="C69" s="7" t="s">
        <v>95</v>
      </c>
      <c r="D69" s="8">
        <v>45324</v>
      </c>
      <c r="E69" s="7">
        <v>149.99</v>
      </c>
      <c r="F69" s="7">
        <v>1</v>
      </c>
      <c r="G69" s="7">
        <f t="shared" si="2"/>
        <v>14.999000000000002</v>
      </c>
      <c r="H69" s="7">
        <f t="shared" si="1"/>
        <v>164.989</v>
      </c>
    </row>
    <row r="70" spans="1:8">
      <c r="A70" s="7" t="s">
        <v>123</v>
      </c>
      <c r="B70" s="8">
        <v>45322</v>
      </c>
      <c r="C70" s="7" t="s">
        <v>50</v>
      </c>
      <c r="D70" s="8">
        <v>45326</v>
      </c>
      <c r="E70" s="7">
        <v>69.989999999999995</v>
      </c>
      <c r="F70" s="7">
        <v>2</v>
      </c>
      <c r="G70" s="7">
        <f t="shared" si="2"/>
        <v>13.997999999999999</v>
      </c>
      <c r="H70" s="7">
        <f t="shared" si="1"/>
        <v>153.97799999999998</v>
      </c>
    </row>
    <row r="71" spans="1:8">
      <c r="A71" s="7" t="s">
        <v>124</v>
      </c>
      <c r="B71" s="8">
        <v>45323</v>
      </c>
      <c r="C71" s="7" t="s">
        <v>98</v>
      </c>
      <c r="D71" s="8">
        <v>45324</v>
      </c>
      <c r="E71" s="7">
        <v>39.99</v>
      </c>
      <c r="F71" s="7">
        <v>3</v>
      </c>
      <c r="G71" s="7">
        <f t="shared" si="2"/>
        <v>11.997</v>
      </c>
      <c r="H71" s="7">
        <f t="shared" si="1"/>
        <v>131.96699999999998</v>
      </c>
    </row>
    <row r="72" spans="1:8">
      <c r="A72" s="7" t="s">
        <v>125</v>
      </c>
      <c r="B72" s="8">
        <v>45323</v>
      </c>
      <c r="C72" s="7" t="s">
        <v>100</v>
      </c>
      <c r="D72" s="8">
        <v>45327</v>
      </c>
      <c r="E72" s="7">
        <v>199.99</v>
      </c>
      <c r="F72" s="7">
        <v>1</v>
      </c>
      <c r="G72" s="7">
        <f t="shared" si="2"/>
        <v>19.999000000000002</v>
      </c>
      <c r="H72" s="7">
        <f t="shared" si="1"/>
        <v>219.989</v>
      </c>
    </row>
    <row r="73" spans="1:8">
      <c r="A73" s="7" t="s">
        <v>126</v>
      </c>
      <c r="B73" s="8">
        <v>45323</v>
      </c>
      <c r="C73" s="7" t="s">
        <v>102</v>
      </c>
      <c r="D73" s="8">
        <v>45325</v>
      </c>
      <c r="E73" s="7">
        <v>29.99</v>
      </c>
      <c r="F73" s="7">
        <v>5</v>
      </c>
      <c r="G73" s="7">
        <f t="shared" ref="G73:G78" si="3">E73*F73*$H$6</f>
        <v>14.994999999999999</v>
      </c>
      <c r="H73" s="7">
        <f t="shared" si="1"/>
        <v>164.94499999999999</v>
      </c>
    </row>
    <row r="74" spans="1:8">
      <c r="A74" s="7" t="s">
        <v>127</v>
      </c>
      <c r="B74" s="8">
        <v>45324</v>
      </c>
      <c r="C74" s="7" t="s">
        <v>104</v>
      </c>
      <c r="D74" s="8">
        <v>45328</v>
      </c>
      <c r="E74" s="7">
        <v>79.989999999999995</v>
      </c>
      <c r="F74" s="7">
        <v>2</v>
      </c>
      <c r="G74" s="7">
        <f t="shared" si="3"/>
        <v>15.997999999999999</v>
      </c>
      <c r="H74" s="7">
        <f>E74*F74+G74</f>
        <v>175.97799999999998</v>
      </c>
    </row>
    <row r="75" spans="1:8">
      <c r="A75" s="7" t="s">
        <v>128</v>
      </c>
      <c r="B75" s="8">
        <v>45325</v>
      </c>
      <c r="C75" s="7" t="s">
        <v>106</v>
      </c>
      <c r="D75" s="8">
        <v>45328</v>
      </c>
      <c r="E75" s="7">
        <v>49.99</v>
      </c>
      <c r="F75" s="7">
        <v>3</v>
      </c>
      <c r="G75" s="7">
        <f t="shared" si="3"/>
        <v>14.997</v>
      </c>
      <c r="H75" s="7">
        <f>E75*F75+G75</f>
        <v>164.96699999999998</v>
      </c>
    </row>
    <row r="76" spans="1:8">
      <c r="A76" s="7" t="s">
        <v>129</v>
      </c>
      <c r="B76" s="8">
        <v>45326</v>
      </c>
      <c r="C76" s="7" t="s">
        <v>108</v>
      </c>
      <c r="D76" s="8">
        <v>45327</v>
      </c>
      <c r="E76" s="7">
        <v>129.99</v>
      </c>
      <c r="F76" s="7">
        <v>1</v>
      </c>
      <c r="G76" s="7">
        <f t="shared" si="3"/>
        <v>12.999000000000002</v>
      </c>
      <c r="H76" s="7">
        <f>E76*F76+G76</f>
        <v>142.989</v>
      </c>
    </row>
    <row r="77" spans="1:8">
      <c r="A77" s="7" t="s">
        <v>130</v>
      </c>
      <c r="B77" s="8">
        <v>45326</v>
      </c>
      <c r="C77" s="7" t="s">
        <v>110</v>
      </c>
      <c r="D77" s="8">
        <v>45330</v>
      </c>
      <c r="E77" s="7">
        <v>19.989999999999998</v>
      </c>
      <c r="F77" s="7">
        <v>4</v>
      </c>
      <c r="G77" s="7">
        <f t="shared" si="3"/>
        <v>7.9959999999999996</v>
      </c>
      <c r="H77" s="7">
        <f>E77*F77+G77</f>
        <v>87.955999999999989</v>
      </c>
    </row>
    <row r="78" spans="1:8">
      <c r="A78" s="7" t="s">
        <v>131</v>
      </c>
      <c r="B78" s="8">
        <v>45326</v>
      </c>
      <c r="C78" s="7" t="s">
        <v>112</v>
      </c>
      <c r="D78" s="8">
        <v>45329</v>
      </c>
      <c r="E78" s="7">
        <v>149.99</v>
      </c>
      <c r="F78" s="7">
        <v>1</v>
      </c>
      <c r="G78" s="7">
        <f t="shared" si="3"/>
        <v>14.999000000000002</v>
      </c>
      <c r="H78" s="7">
        <f>E78*F78+G78</f>
        <v>164.989</v>
      </c>
    </row>
    <row r="79" spans="1:8">
      <c r="B79" s="9"/>
    </row>
    <row r="80" spans="1:8">
      <c r="B80" s="9"/>
    </row>
    <row r="82" spans="1:8">
      <c r="A82" s="21" t="s">
        <v>1</v>
      </c>
    </row>
    <row r="84" spans="1:8">
      <c r="G84" s="21" t="s">
        <v>2</v>
      </c>
      <c r="H84" s="21">
        <v>0.1</v>
      </c>
    </row>
    <row r="86" spans="1:8">
      <c r="A86" s="21" t="s">
        <v>3</v>
      </c>
      <c r="C86" s="21" t="s">
        <v>5</v>
      </c>
      <c r="G86" s="21" t="s">
        <v>9</v>
      </c>
    </row>
    <row r="87" spans="1:8">
      <c r="A87" s="21" t="s">
        <v>11</v>
      </c>
      <c r="B87" s="22">
        <v>45292</v>
      </c>
      <c r="C87" s="21" t="s">
        <v>12</v>
      </c>
      <c r="D87" s="22">
        <v>45294</v>
      </c>
      <c r="E87" s="21">
        <v>49.99</v>
      </c>
      <c r="F87" s="21">
        <v>2</v>
      </c>
      <c r="G87" s="21" t="s">
        <v>146</v>
      </c>
      <c r="H87" s="21">
        <v>109.97799999999999</v>
      </c>
    </row>
    <row r="88" spans="1:8">
      <c r="A88" s="21" t="s">
        <v>13</v>
      </c>
      <c r="B88" s="22">
        <v>45292</v>
      </c>
      <c r="C88" s="21" t="s">
        <v>14</v>
      </c>
      <c r="D88" s="22">
        <v>45295</v>
      </c>
      <c r="E88" s="21">
        <v>29.99</v>
      </c>
      <c r="F88" s="21">
        <v>1</v>
      </c>
      <c r="G88" s="21" t="s">
        <v>147</v>
      </c>
      <c r="H88" s="21">
        <v>32.988999999999997</v>
      </c>
    </row>
    <row r="89" spans="1:8">
      <c r="A89" s="21" t="s">
        <v>15</v>
      </c>
      <c r="B89" s="22">
        <v>45293</v>
      </c>
      <c r="C89" s="21" t="s">
        <v>16</v>
      </c>
      <c r="D89" s="22">
        <v>45298</v>
      </c>
      <c r="E89" s="21">
        <v>99.99</v>
      </c>
      <c r="F89" s="21">
        <v>3</v>
      </c>
      <c r="G89" s="21" t="s">
        <v>148</v>
      </c>
      <c r="H89" s="21">
        <v>329.96699999999998</v>
      </c>
    </row>
    <row r="90" spans="1:8">
      <c r="A90" s="21" t="s">
        <v>17</v>
      </c>
      <c r="B90" s="22">
        <v>45293</v>
      </c>
      <c r="C90" s="21" t="s">
        <v>18</v>
      </c>
      <c r="D90" s="22">
        <v>45294</v>
      </c>
      <c r="E90" s="21">
        <v>19.989999999999998</v>
      </c>
      <c r="F90" s="21">
        <v>4</v>
      </c>
      <c r="G90" s="21" t="s">
        <v>149</v>
      </c>
      <c r="H90" s="21">
        <v>87.956000000000003</v>
      </c>
    </row>
    <row r="91" spans="1:8">
      <c r="A91" s="21" t="s">
        <v>19</v>
      </c>
      <c r="B91" s="22">
        <v>45294</v>
      </c>
      <c r="C91" s="21" t="s">
        <v>20</v>
      </c>
      <c r="D91" s="22">
        <v>45299</v>
      </c>
      <c r="E91" s="21">
        <v>149.99</v>
      </c>
      <c r="F91" s="21">
        <v>1</v>
      </c>
      <c r="G91" s="21" t="s">
        <v>150</v>
      </c>
      <c r="H91" s="21">
        <v>164.989</v>
      </c>
    </row>
    <row r="92" spans="1:8">
      <c r="A92" s="21" t="s">
        <v>21</v>
      </c>
      <c r="B92" s="22">
        <v>45294</v>
      </c>
      <c r="C92" s="21" t="s">
        <v>22</v>
      </c>
      <c r="D92" s="22">
        <v>45297</v>
      </c>
      <c r="E92" s="21">
        <v>79.989999999999995</v>
      </c>
      <c r="F92" s="21">
        <v>2</v>
      </c>
      <c r="G92" s="21" t="s">
        <v>151</v>
      </c>
      <c r="H92" s="21">
        <v>175.97800000000001</v>
      </c>
    </row>
    <row r="93" spans="1:8">
      <c r="A93" s="21" t="s">
        <v>23</v>
      </c>
      <c r="B93" s="22">
        <v>45295</v>
      </c>
      <c r="C93" s="21" t="s">
        <v>24</v>
      </c>
      <c r="D93" s="22">
        <v>45297</v>
      </c>
      <c r="E93" s="21">
        <v>39.99</v>
      </c>
      <c r="F93" s="21">
        <v>3</v>
      </c>
      <c r="G93" s="21" t="s">
        <v>152</v>
      </c>
      <c r="H93" s="21">
        <v>131.96700000000001</v>
      </c>
    </row>
    <row r="94" spans="1:8">
      <c r="A94" s="21" t="s">
        <v>25</v>
      </c>
      <c r="B94" s="22">
        <v>45295</v>
      </c>
      <c r="C94" s="21" t="s">
        <v>26</v>
      </c>
      <c r="D94" s="22">
        <v>45300</v>
      </c>
      <c r="E94" s="21">
        <v>69.989999999999995</v>
      </c>
      <c r="F94" s="21">
        <v>2</v>
      </c>
      <c r="G94" s="21" t="s">
        <v>153</v>
      </c>
      <c r="H94" s="21">
        <v>153.97800000000001</v>
      </c>
    </row>
    <row r="95" spans="1:8">
      <c r="A95" s="21" t="s">
        <v>27</v>
      </c>
      <c r="B95" s="22">
        <v>45296</v>
      </c>
      <c r="C95" s="21" t="s">
        <v>28</v>
      </c>
      <c r="D95" s="22">
        <v>45297</v>
      </c>
      <c r="E95" s="21">
        <v>89.99</v>
      </c>
      <c r="F95" s="21">
        <v>1</v>
      </c>
      <c r="G95" s="21" t="s">
        <v>154</v>
      </c>
      <c r="H95" s="21">
        <v>98.989000000000004</v>
      </c>
    </row>
    <row r="96" spans="1:8">
      <c r="A96" s="21" t="s">
        <v>29</v>
      </c>
      <c r="B96" s="22">
        <v>45296</v>
      </c>
      <c r="C96" s="21" t="s">
        <v>30</v>
      </c>
      <c r="D96" s="22">
        <v>45299</v>
      </c>
      <c r="E96" s="21">
        <v>199.99</v>
      </c>
      <c r="F96" s="21">
        <v>1</v>
      </c>
      <c r="G96" s="21" t="s">
        <v>155</v>
      </c>
      <c r="H96" s="21">
        <v>219.989</v>
      </c>
    </row>
    <row r="97" spans="1:8">
      <c r="A97" s="21" t="s">
        <v>31</v>
      </c>
      <c r="B97" s="22">
        <v>45297</v>
      </c>
      <c r="C97" s="21" t="s">
        <v>32</v>
      </c>
      <c r="D97" s="22">
        <v>45298</v>
      </c>
      <c r="E97" s="21">
        <v>29.99</v>
      </c>
      <c r="F97" s="21">
        <v>5</v>
      </c>
      <c r="G97" s="21" t="s">
        <v>156</v>
      </c>
      <c r="H97" s="21">
        <v>164.94499999999999</v>
      </c>
    </row>
    <row r="98" spans="1:8">
      <c r="A98" s="21" t="s">
        <v>33</v>
      </c>
      <c r="B98" s="22">
        <v>45297</v>
      </c>
      <c r="C98" s="21" t="s">
        <v>34</v>
      </c>
      <c r="D98" s="22">
        <v>45299</v>
      </c>
      <c r="E98" s="21">
        <v>79.989999999999995</v>
      </c>
      <c r="F98" s="21">
        <v>2</v>
      </c>
      <c r="G98" s="21" t="s">
        <v>151</v>
      </c>
      <c r="H98" s="21">
        <v>175.97800000000001</v>
      </c>
    </row>
    <row r="99" spans="1:8">
      <c r="A99" s="21" t="s">
        <v>35</v>
      </c>
      <c r="B99" s="22">
        <v>45298</v>
      </c>
      <c r="C99" s="21" t="s">
        <v>36</v>
      </c>
      <c r="D99" s="22">
        <v>45300</v>
      </c>
      <c r="E99" s="21">
        <v>49.99</v>
      </c>
      <c r="F99" s="21">
        <v>3</v>
      </c>
      <c r="G99" s="21" t="s">
        <v>157</v>
      </c>
      <c r="H99" s="21">
        <v>164.96700000000001</v>
      </c>
    </row>
    <row r="100" spans="1:8">
      <c r="A100" s="21" t="s">
        <v>37</v>
      </c>
      <c r="B100" s="22">
        <v>45298</v>
      </c>
      <c r="C100" s="21" t="s">
        <v>38</v>
      </c>
      <c r="D100" s="22">
        <v>45303</v>
      </c>
      <c r="E100" s="21">
        <v>129.99</v>
      </c>
      <c r="F100" s="21">
        <v>1</v>
      </c>
      <c r="G100" s="21" t="s">
        <v>158</v>
      </c>
      <c r="H100" s="21">
        <v>142.989</v>
      </c>
    </row>
    <row r="101" spans="1:8">
      <c r="A101" s="21" t="s">
        <v>39</v>
      </c>
      <c r="B101" s="22">
        <v>45299</v>
      </c>
      <c r="C101" s="21" t="s">
        <v>40</v>
      </c>
      <c r="D101" s="22">
        <v>45304</v>
      </c>
      <c r="E101" s="21">
        <v>19.989999999999998</v>
      </c>
      <c r="F101" s="21">
        <v>4</v>
      </c>
      <c r="G101" s="21" t="s">
        <v>149</v>
      </c>
      <c r="H101" s="21">
        <v>87.956000000000003</v>
      </c>
    </row>
    <row r="102" spans="1:8">
      <c r="A102" s="21" t="s">
        <v>41</v>
      </c>
      <c r="B102" s="22">
        <v>45299</v>
      </c>
      <c r="C102" s="21" t="s">
        <v>42</v>
      </c>
      <c r="D102" s="22">
        <v>45303</v>
      </c>
      <c r="E102" s="21">
        <v>149.99</v>
      </c>
      <c r="F102" s="21">
        <v>1</v>
      </c>
      <c r="G102" s="21" t="s">
        <v>150</v>
      </c>
      <c r="H102" s="21">
        <v>164.989</v>
      </c>
    </row>
    <row r="103" spans="1:8">
      <c r="A103" s="21" t="s">
        <v>43</v>
      </c>
      <c r="B103" s="22">
        <v>45300</v>
      </c>
      <c r="C103" s="21" t="s">
        <v>44</v>
      </c>
      <c r="D103" s="22">
        <v>45305</v>
      </c>
      <c r="E103" s="21">
        <v>69.989999999999995</v>
      </c>
      <c r="F103" s="21">
        <v>2</v>
      </c>
      <c r="G103" s="21" t="s">
        <v>153</v>
      </c>
      <c r="H103" s="21">
        <v>153.97800000000001</v>
      </c>
    </row>
    <row r="104" spans="1:8">
      <c r="A104" s="21" t="s">
        <v>45</v>
      </c>
      <c r="B104" s="22">
        <v>45300</v>
      </c>
      <c r="C104" s="21" t="s">
        <v>46</v>
      </c>
      <c r="D104" s="22">
        <v>45303</v>
      </c>
      <c r="E104" s="21">
        <v>39.99</v>
      </c>
      <c r="F104" s="21">
        <v>3</v>
      </c>
      <c r="G104" s="21" t="s">
        <v>152</v>
      </c>
      <c r="H104" s="21">
        <v>131.96700000000001</v>
      </c>
    </row>
    <row r="105" spans="1:8">
      <c r="A105" s="21" t="s">
        <v>47</v>
      </c>
      <c r="B105" s="22">
        <v>45301</v>
      </c>
      <c r="C105" s="21" t="s">
        <v>48</v>
      </c>
      <c r="D105" s="22">
        <v>45302</v>
      </c>
      <c r="E105" s="21">
        <v>199.99</v>
      </c>
      <c r="F105" s="21">
        <v>1</v>
      </c>
      <c r="G105" s="21" t="s">
        <v>155</v>
      </c>
      <c r="H105" s="21">
        <v>219.989</v>
      </c>
    </row>
    <row r="106" spans="1:8">
      <c r="A106" s="21" t="s">
        <v>49</v>
      </c>
      <c r="B106" s="22">
        <v>45301</v>
      </c>
      <c r="C106" s="21" t="s">
        <v>50</v>
      </c>
      <c r="D106" s="22">
        <v>45305</v>
      </c>
      <c r="E106" s="21">
        <v>29.99</v>
      </c>
      <c r="F106" s="21">
        <v>5</v>
      </c>
      <c r="G106" s="21" t="s">
        <v>156</v>
      </c>
      <c r="H106" s="21">
        <v>164.94499999999999</v>
      </c>
    </row>
    <row r="107" spans="1:8">
      <c r="A107" s="21" t="s">
        <v>51</v>
      </c>
      <c r="B107" s="22">
        <v>45302</v>
      </c>
      <c r="C107" s="21" t="s">
        <v>52</v>
      </c>
      <c r="D107" s="22">
        <v>45305</v>
      </c>
      <c r="E107" s="21">
        <v>79.989999999999995</v>
      </c>
      <c r="F107" s="21">
        <v>2</v>
      </c>
      <c r="G107" s="21" t="s">
        <v>151</v>
      </c>
      <c r="H107" s="21">
        <v>175.97800000000001</v>
      </c>
    </row>
    <row r="108" spans="1:8">
      <c r="A108" s="21" t="s">
        <v>53</v>
      </c>
      <c r="B108" s="22">
        <v>45302</v>
      </c>
      <c r="C108" s="21" t="s">
        <v>54</v>
      </c>
      <c r="D108" s="22">
        <v>45306</v>
      </c>
      <c r="E108" s="21">
        <v>49.99</v>
      </c>
      <c r="F108" s="21">
        <v>3</v>
      </c>
      <c r="G108" s="21" t="s">
        <v>157</v>
      </c>
      <c r="H108" s="21">
        <v>164.96700000000001</v>
      </c>
    </row>
    <row r="109" spans="1:8">
      <c r="A109" s="21" t="s">
        <v>55</v>
      </c>
      <c r="B109" s="22">
        <v>45303</v>
      </c>
      <c r="C109" s="21" t="s">
        <v>56</v>
      </c>
      <c r="D109" s="22">
        <v>45308</v>
      </c>
      <c r="E109" s="21">
        <v>129.99</v>
      </c>
      <c r="F109" s="21">
        <v>1</v>
      </c>
      <c r="G109" s="21" t="s">
        <v>158</v>
      </c>
      <c r="H109" s="21">
        <v>142.989</v>
      </c>
    </row>
    <row r="110" spans="1:8">
      <c r="A110" s="21" t="s">
        <v>57</v>
      </c>
      <c r="B110" s="22">
        <v>45303</v>
      </c>
      <c r="C110" s="21" t="s">
        <v>58</v>
      </c>
      <c r="D110" s="22">
        <v>45308</v>
      </c>
      <c r="E110" s="21">
        <v>19.989999999999998</v>
      </c>
      <c r="F110" s="21">
        <v>4</v>
      </c>
      <c r="G110" s="21" t="s">
        <v>149</v>
      </c>
      <c r="H110" s="21">
        <v>87.956000000000003</v>
      </c>
    </row>
    <row r="111" spans="1:8">
      <c r="A111" s="21" t="s">
        <v>59</v>
      </c>
      <c r="B111" s="22">
        <v>45304</v>
      </c>
      <c r="C111" s="21" t="s">
        <v>20</v>
      </c>
      <c r="D111" s="22">
        <v>45308</v>
      </c>
      <c r="E111" s="21">
        <v>149.99</v>
      </c>
      <c r="F111" s="21">
        <v>1</v>
      </c>
      <c r="G111" s="21" t="s">
        <v>150</v>
      </c>
      <c r="H111" s="21">
        <v>164.989</v>
      </c>
    </row>
    <row r="112" spans="1:8">
      <c r="A112" s="21" t="s">
        <v>60</v>
      </c>
      <c r="B112" s="22">
        <v>45304</v>
      </c>
      <c r="C112" s="21" t="s">
        <v>61</v>
      </c>
      <c r="D112" s="22">
        <v>45305</v>
      </c>
      <c r="E112" s="21">
        <v>69.989999999999995</v>
      </c>
      <c r="F112" s="21">
        <v>2</v>
      </c>
      <c r="G112" s="21" t="s">
        <v>153</v>
      </c>
      <c r="H112" s="21">
        <v>153.97800000000001</v>
      </c>
    </row>
    <row r="113" spans="1:8">
      <c r="A113" s="21" t="s">
        <v>62</v>
      </c>
      <c r="B113" s="22">
        <v>45305</v>
      </c>
      <c r="C113" s="21" t="s">
        <v>63</v>
      </c>
      <c r="D113" s="22">
        <v>45309</v>
      </c>
      <c r="E113" s="21">
        <v>39.99</v>
      </c>
      <c r="F113" s="21">
        <v>3</v>
      </c>
      <c r="G113" s="21" t="s">
        <v>152</v>
      </c>
      <c r="H113" s="21">
        <v>131.96700000000001</v>
      </c>
    </row>
    <row r="114" spans="1:8">
      <c r="A114" s="21" t="s">
        <v>64</v>
      </c>
      <c r="B114" s="22">
        <v>45305</v>
      </c>
      <c r="C114" s="21" t="s">
        <v>65</v>
      </c>
      <c r="D114" s="22">
        <v>45310</v>
      </c>
      <c r="E114" s="21">
        <v>199.99</v>
      </c>
      <c r="F114" s="21">
        <v>1</v>
      </c>
      <c r="G114" s="21" t="s">
        <v>155</v>
      </c>
      <c r="H114" s="21">
        <v>219.989</v>
      </c>
    </row>
    <row r="115" spans="1:8">
      <c r="A115" s="21" t="s">
        <v>66</v>
      </c>
      <c r="B115" s="22">
        <v>45306</v>
      </c>
      <c r="C115" s="21" t="s">
        <v>67</v>
      </c>
      <c r="D115" s="22">
        <v>45310</v>
      </c>
      <c r="E115" s="21">
        <v>29.99</v>
      </c>
      <c r="F115" s="21">
        <v>5</v>
      </c>
      <c r="G115" s="21" t="s">
        <v>156</v>
      </c>
      <c r="H115" s="21">
        <v>164.94499999999999</v>
      </c>
    </row>
    <row r="116" spans="1:8">
      <c r="A116" s="21" t="s">
        <v>68</v>
      </c>
      <c r="B116" s="22">
        <v>45306</v>
      </c>
      <c r="C116" s="21" t="s">
        <v>69</v>
      </c>
      <c r="D116" s="22">
        <v>45310</v>
      </c>
      <c r="E116" s="21">
        <v>79.989999999999995</v>
      </c>
      <c r="F116" s="21">
        <v>2</v>
      </c>
      <c r="G116" s="21" t="s">
        <v>151</v>
      </c>
      <c r="H116" s="21">
        <v>175.97800000000001</v>
      </c>
    </row>
    <row r="117" spans="1:8">
      <c r="A117" s="21" t="s">
        <v>70</v>
      </c>
      <c r="B117" s="22">
        <v>45307</v>
      </c>
      <c r="C117" s="21" t="s">
        <v>71</v>
      </c>
      <c r="D117" s="22">
        <v>45310</v>
      </c>
      <c r="E117" s="21">
        <v>49.99</v>
      </c>
      <c r="F117" s="21">
        <v>3</v>
      </c>
      <c r="G117" s="21" t="s">
        <v>157</v>
      </c>
      <c r="H117" s="21">
        <v>164.96700000000001</v>
      </c>
    </row>
    <row r="118" spans="1:8">
      <c r="A118" s="21" t="s">
        <v>72</v>
      </c>
      <c r="B118" s="22">
        <v>45307</v>
      </c>
      <c r="C118" s="21" t="s">
        <v>73</v>
      </c>
      <c r="D118" s="22">
        <v>45308</v>
      </c>
      <c r="E118" s="21">
        <v>129.99</v>
      </c>
      <c r="F118" s="21">
        <v>1</v>
      </c>
      <c r="G118" s="21" t="s">
        <v>158</v>
      </c>
      <c r="H118" s="21">
        <v>142.989</v>
      </c>
    </row>
    <row r="119" spans="1:8">
      <c r="A119" s="21" t="s">
        <v>74</v>
      </c>
      <c r="B119" s="22">
        <v>45308</v>
      </c>
      <c r="C119" s="21" t="s">
        <v>75</v>
      </c>
      <c r="D119" s="22">
        <v>45310</v>
      </c>
      <c r="E119" s="21">
        <v>19.989999999999998</v>
      </c>
      <c r="F119" s="21">
        <v>4</v>
      </c>
      <c r="G119" s="21" t="s">
        <v>149</v>
      </c>
      <c r="H119" s="21">
        <v>87.956000000000003</v>
      </c>
    </row>
    <row r="120" spans="1:8">
      <c r="A120" s="21" t="s">
        <v>76</v>
      </c>
      <c r="B120" s="22">
        <v>45308</v>
      </c>
      <c r="C120" s="21" t="s">
        <v>77</v>
      </c>
      <c r="D120" s="22">
        <v>45310</v>
      </c>
      <c r="E120" s="21">
        <v>149.99</v>
      </c>
      <c r="F120" s="21">
        <v>1</v>
      </c>
      <c r="G120" s="21" t="s">
        <v>150</v>
      </c>
      <c r="H120" s="21">
        <v>164.989</v>
      </c>
    </row>
    <row r="121" spans="1:8">
      <c r="A121" s="21" t="s">
        <v>78</v>
      </c>
      <c r="B121" s="22">
        <v>45309</v>
      </c>
      <c r="C121" s="21" t="s">
        <v>79</v>
      </c>
      <c r="D121" s="22">
        <v>45314</v>
      </c>
      <c r="E121" s="21">
        <v>69.989999999999995</v>
      </c>
      <c r="F121" s="21">
        <v>2</v>
      </c>
      <c r="G121" s="21" t="s">
        <v>153</v>
      </c>
      <c r="H121" s="21">
        <v>153.97800000000001</v>
      </c>
    </row>
    <row r="122" spans="1:8">
      <c r="A122" s="21" t="s">
        <v>80</v>
      </c>
      <c r="B122" s="22">
        <v>45309</v>
      </c>
      <c r="C122" s="21" t="s">
        <v>81</v>
      </c>
      <c r="D122" s="22">
        <v>45310</v>
      </c>
      <c r="E122" s="21">
        <v>39.99</v>
      </c>
      <c r="F122" s="21">
        <v>3</v>
      </c>
      <c r="G122" s="21" t="s">
        <v>152</v>
      </c>
      <c r="H122" s="21">
        <v>131.96700000000001</v>
      </c>
    </row>
    <row r="123" spans="1:8">
      <c r="A123" s="21" t="s">
        <v>82</v>
      </c>
      <c r="B123" s="22">
        <v>45310</v>
      </c>
      <c r="C123" s="21" t="s">
        <v>83</v>
      </c>
      <c r="D123" s="22">
        <v>45311</v>
      </c>
      <c r="E123" s="21">
        <v>199.99</v>
      </c>
      <c r="F123" s="21">
        <v>1</v>
      </c>
      <c r="G123" s="21" t="s">
        <v>155</v>
      </c>
      <c r="H123" s="21">
        <v>219.989</v>
      </c>
    </row>
    <row r="124" spans="1:8">
      <c r="A124" s="21" t="s">
        <v>84</v>
      </c>
      <c r="B124" s="22">
        <v>45310</v>
      </c>
      <c r="C124" s="21" t="s">
        <v>85</v>
      </c>
      <c r="D124" s="22">
        <v>45313</v>
      </c>
      <c r="E124" s="21">
        <v>29.99</v>
      </c>
      <c r="F124" s="21">
        <v>5</v>
      </c>
      <c r="G124" s="21" t="s">
        <v>156</v>
      </c>
      <c r="H124" s="21">
        <v>164.94499999999999</v>
      </c>
    </row>
    <row r="125" spans="1:8">
      <c r="A125" s="21" t="s">
        <v>86</v>
      </c>
      <c r="B125" s="22">
        <v>45311</v>
      </c>
      <c r="C125" s="21" t="s">
        <v>16</v>
      </c>
      <c r="D125" s="22">
        <v>45315</v>
      </c>
      <c r="E125" s="21">
        <v>79.989999999999995</v>
      </c>
      <c r="F125" s="21">
        <v>2</v>
      </c>
      <c r="G125" s="21" t="s">
        <v>151</v>
      </c>
      <c r="H125" s="21">
        <v>175.97800000000001</v>
      </c>
    </row>
    <row r="126" spans="1:8">
      <c r="A126" s="21" t="s">
        <v>87</v>
      </c>
      <c r="B126" s="22">
        <v>45311</v>
      </c>
      <c r="C126" s="21" t="s">
        <v>58</v>
      </c>
      <c r="D126" s="22">
        <v>45312</v>
      </c>
      <c r="E126" s="21">
        <v>49.99</v>
      </c>
      <c r="F126" s="21">
        <v>3</v>
      </c>
      <c r="G126" s="21" t="s">
        <v>157</v>
      </c>
      <c r="H126" s="21">
        <v>164.96700000000001</v>
      </c>
    </row>
    <row r="127" spans="1:8">
      <c r="A127" s="21" t="s">
        <v>88</v>
      </c>
      <c r="B127" s="22">
        <v>45312</v>
      </c>
      <c r="C127" s="21" t="s">
        <v>20</v>
      </c>
      <c r="D127" s="22">
        <v>45317</v>
      </c>
      <c r="E127" s="21">
        <v>129.99</v>
      </c>
      <c r="F127" s="21">
        <v>1</v>
      </c>
      <c r="G127" s="21" t="s">
        <v>158</v>
      </c>
      <c r="H127" s="21">
        <v>142.989</v>
      </c>
    </row>
    <row r="128" spans="1:8">
      <c r="A128" s="21" t="s">
        <v>89</v>
      </c>
      <c r="B128" s="22">
        <v>45312</v>
      </c>
      <c r="C128" s="21" t="s">
        <v>90</v>
      </c>
      <c r="D128" s="22">
        <v>45314</v>
      </c>
      <c r="E128" s="21">
        <v>19.989999999999998</v>
      </c>
      <c r="F128" s="21">
        <v>4</v>
      </c>
      <c r="G128" s="21" t="s">
        <v>149</v>
      </c>
      <c r="H128" s="21">
        <v>87.956000000000003</v>
      </c>
    </row>
    <row r="129" spans="1:8">
      <c r="A129" s="21" t="s">
        <v>91</v>
      </c>
      <c r="B129" s="22">
        <v>45313</v>
      </c>
      <c r="C129" s="21" t="s">
        <v>92</v>
      </c>
      <c r="D129" s="22">
        <v>45316</v>
      </c>
      <c r="E129" s="21">
        <v>149.99</v>
      </c>
      <c r="F129" s="21">
        <v>1</v>
      </c>
      <c r="G129" s="21" t="s">
        <v>150</v>
      </c>
      <c r="H129" s="21">
        <v>164.989</v>
      </c>
    </row>
    <row r="130" spans="1:8">
      <c r="A130" s="21" t="s">
        <v>93</v>
      </c>
      <c r="B130" s="22">
        <v>45313</v>
      </c>
      <c r="C130" s="21" t="s">
        <v>18</v>
      </c>
      <c r="D130" s="22">
        <v>45316</v>
      </c>
      <c r="E130" s="21">
        <v>69.989999999999995</v>
      </c>
      <c r="F130" s="21">
        <v>2</v>
      </c>
      <c r="G130" s="21" t="s">
        <v>153</v>
      </c>
      <c r="H130" s="21">
        <v>153.97800000000001</v>
      </c>
    </row>
    <row r="131" spans="1:8">
      <c r="A131" s="21" t="s">
        <v>94</v>
      </c>
      <c r="B131" s="22">
        <v>45314</v>
      </c>
      <c r="C131" s="21" t="s">
        <v>95</v>
      </c>
      <c r="D131" s="22">
        <v>45318</v>
      </c>
      <c r="E131" s="21">
        <v>39.99</v>
      </c>
      <c r="F131" s="21">
        <v>3</v>
      </c>
      <c r="G131" s="21" t="s">
        <v>152</v>
      </c>
      <c r="H131" s="21">
        <v>131.96700000000001</v>
      </c>
    </row>
    <row r="132" spans="1:8">
      <c r="A132" s="21" t="s">
        <v>96</v>
      </c>
      <c r="B132" s="22">
        <v>45314</v>
      </c>
      <c r="C132" s="21" t="s">
        <v>50</v>
      </c>
      <c r="D132" s="22">
        <v>45317</v>
      </c>
      <c r="E132" s="21">
        <v>199.99</v>
      </c>
      <c r="F132" s="21">
        <v>1</v>
      </c>
      <c r="G132" s="21" t="s">
        <v>155</v>
      </c>
      <c r="H132" s="21">
        <v>219.989</v>
      </c>
    </row>
    <row r="133" spans="1:8">
      <c r="A133" s="21" t="s">
        <v>97</v>
      </c>
      <c r="B133" s="22">
        <v>45315</v>
      </c>
      <c r="C133" s="21" t="s">
        <v>98</v>
      </c>
      <c r="D133" s="22">
        <v>45316</v>
      </c>
      <c r="E133" s="21">
        <v>29.99</v>
      </c>
      <c r="F133" s="21">
        <v>5</v>
      </c>
      <c r="G133" s="21" t="s">
        <v>156</v>
      </c>
      <c r="H133" s="21">
        <v>164.94499999999999</v>
      </c>
    </row>
    <row r="134" spans="1:8">
      <c r="A134" s="21" t="s">
        <v>99</v>
      </c>
      <c r="B134" s="22">
        <v>45315</v>
      </c>
      <c r="C134" s="21" t="s">
        <v>100</v>
      </c>
      <c r="D134" s="22">
        <v>45317</v>
      </c>
      <c r="E134" s="21">
        <v>79.989999999999995</v>
      </c>
      <c r="F134" s="21">
        <v>2</v>
      </c>
      <c r="G134" s="21" t="s">
        <v>151</v>
      </c>
      <c r="H134" s="21">
        <v>175.97800000000001</v>
      </c>
    </row>
    <row r="135" spans="1:8">
      <c r="A135" s="21" t="s">
        <v>101</v>
      </c>
      <c r="B135" s="22">
        <v>45316</v>
      </c>
      <c r="C135" s="21" t="s">
        <v>102</v>
      </c>
      <c r="D135" s="22">
        <v>45321</v>
      </c>
      <c r="E135" s="21">
        <v>49.99</v>
      </c>
      <c r="F135" s="21">
        <v>3</v>
      </c>
      <c r="G135" s="21" t="s">
        <v>157</v>
      </c>
      <c r="H135" s="21">
        <v>164.96700000000001</v>
      </c>
    </row>
    <row r="136" spans="1:8">
      <c r="A136" s="21" t="s">
        <v>103</v>
      </c>
      <c r="B136" s="22">
        <v>45316</v>
      </c>
      <c r="C136" s="21" t="s">
        <v>104</v>
      </c>
      <c r="D136" s="22">
        <v>45318</v>
      </c>
      <c r="E136" s="21">
        <v>129.99</v>
      </c>
      <c r="F136" s="21">
        <v>1</v>
      </c>
      <c r="G136" s="21" t="s">
        <v>158</v>
      </c>
      <c r="H136" s="21">
        <v>142.989</v>
      </c>
    </row>
    <row r="137" spans="1:8">
      <c r="A137" s="21" t="s">
        <v>105</v>
      </c>
      <c r="B137" s="22">
        <v>45317</v>
      </c>
      <c r="C137" s="21" t="s">
        <v>106</v>
      </c>
      <c r="D137" s="22">
        <v>45320</v>
      </c>
      <c r="E137" s="21">
        <v>19.989999999999998</v>
      </c>
      <c r="F137" s="21">
        <v>4</v>
      </c>
      <c r="G137" s="21" t="s">
        <v>149</v>
      </c>
      <c r="H137" s="21">
        <v>87.956000000000003</v>
      </c>
    </row>
    <row r="138" spans="1:8">
      <c r="A138" s="21" t="s">
        <v>107</v>
      </c>
      <c r="B138" s="22">
        <v>45317</v>
      </c>
      <c r="C138" s="21" t="s">
        <v>108</v>
      </c>
      <c r="D138" s="22">
        <v>45319</v>
      </c>
      <c r="E138" s="21">
        <v>149.99</v>
      </c>
      <c r="F138" s="21">
        <v>1</v>
      </c>
      <c r="G138" s="21" t="s">
        <v>150</v>
      </c>
      <c r="H138" s="21">
        <v>164.989</v>
      </c>
    </row>
    <row r="139" spans="1:8">
      <c r="A139" s="21" t="s">
        <v>109</v>
      </c>
      <c r="B139" s="22">
        <v>45318</v>
      </c>
      <c r="C139" s="21" t="s">
        <v>110</v>
      </c>
      <c r="D139" s="22">
        <v>45322</v>
      </c>
      <c r="E139" s="21">
        <v>69.989999999999995</v>
      </c>
      <c r="F139" s="21">
        <v>2</v>
      </c>
      <c r="G139" s="21" t="s">
        <v>153</v>
      </c>
      <c r="H139" s="21">
        <v>153.97800000000001</v>
      </c>
    </row>
    <row r="140" spans="1:8">
      <c r="A140" s="21" t="s">
        <v>111</v>
      </c>
      <c r="B140" s="22">
        <v>45318</v>
      </c>
      <c r="C140" s="21" t="s">
        <v>112</v>
      </c>
      <c r="D140" s="22">
        <v>45322</v>
      </c>
      <c r="E140" s="21">
        <v>39.99</v>
      </c>
      <c r="F140" s="21">
        <v>3</v>
      </c>
      <c r="G140" s="21" t="s">
        <v>152</v>
      </c>
      <c r="H140" s="21">
        <v>131.96700000000001</v>
      </c>
    </row>
    <row r="141" spans="1:8">
      <c r="A141" s="21" t="s">
        <v>113</v>
      </c>
      <c r="B141" s="22">
        <v>45319</v>
      </c>
      <c r="C141" s="21" t="s">
        <v>114</v>
      </c>
      <c r="D141" s="22">
        <v>45320</v>
      </c>
      <c r="E141" s="21">
        <v>199.99</v>
      </c>
      <c r="F141" s="21">
        <v>1</v>
      </c>
      <c r="G141" s="21" t="s">
        <v>155</v>
      </c>
      <c r="H141" s="21">
        <v>219.989</v>
      </c>
    </row>
    <row r="142" spans="1:8">
      <c r="A142" s="21" t="s">
        <v>115</v>
      </c>
      <c r="B142" s="22">
        <v>45319</v>
      </c>
      <c r="C142" s="21" t="s">
        <v>116</v>
      </c>
      <c r="D142" s="22">
        <v>45320</v>
      </c>
      <c r="E142" s="21">
        <v>29.99</v>
      </c>
      <c r="F142" s="21">
        <v>5</v>
      </c>
      <c r="G142" s="21" t="s">
        <v>156</v>
      </c>
      <c r="H142" s="21">
        <v>164.94499999999999</v>
      </c>
    </row>
    <row r="143" spans="1:8">
      <c r="A143" s="21" t="s">
        <v>117</v>
      </c>
      <c r="B143" s="22">
        <v>45320</v>
      </c>
      <c r="C143" s="21" t="s">
        <v>118</v>
      </c>
      <c r="D143" s="22">
        <v>45321</v>
      </c>
      <c r="E143" s="21">
        <v>79.989999999999995</v>
      </c>
      <c r="F143" s="21">
        <v>2</v>
      </c>
      <c r="G143" s="21" t="s">
        <v>151</v>
      </c>
      <c r="H143" s="21">
        <v>175.97800000000001</v>
      </c>
    </row>
    <row r="144" spans="1:8">
      <c r="A144" s="21" t="s">
        <v>119</v>
      </c>
      <c r="B144" s="22">
        <v>45320</v>
      </c>
      <c r="C144" s="21" t="s">
        <v>90</v>
      </c>
      <c r="D144" s="22">
        <v>45322</v>
      </c>
      <c r="E144" s="21">
        <v>49.99</v>
      </c>
      <c r="F144" s="21">
        <v>3</v>
      </c>
      <c r="G144" s="21" t="s">
        <v>157</v>
      </c>
      <c r="H144" s="21">
        <v>164.96700000000001</v>
      </c>
    </row>
    <row r="145" spans="1:8">
      <c r="A145" s="21" t="s">
        <v>120</v>
      </c>
      <c r="B145" s="22">
        <v>45321</v>
      </c>
      <c r="C145" s="21" t="s">
        <v>92</v>
      </c>
      <c r="D145" s="22">
        <v>45322</v>
      </c>
      <c r="E145" s="21">
        <v>129.99</v>
      </c>
      <c r="F145" s="21">
        <v>1</v>
      </c>
      <c r="G145" s="21" t="s">
        <v>158</v>
      </c>
      <c r="H145" s="21">
        <v>142.989</v>
      </c>
    </row>
    <row r="146" spans="1:8">
      <c r="A146" s="21" t="s">
        <v>121</v>
      </c>
      <c r="B146" s="22">
        <v>45321</v>
      </c>
      <c r="C146" s="21" t="s">
        <v>18</v>
      </c>
      <c r="D146" s="22">
        <v>45323</v>
      </c>
      <c r="E146" s="21">
        <v>19.989999999999998</v>
      </c>
      <c r="F146" s="21">
        <v>4</v>
      </c>
      <c r="G146" s="21" t="s">
        <v>149</v>
      </c>
      <c r="H146" s="21">
        <v>87.956000000000003</v>
      </c>
    </row>
    <row r="147" spans="1:8">
      <c r="A147" s="21" t="s">
        <v>122</v>
      </c>
      <c r="B147" s="22">
        <v>45322</v>
      </c>
      <c r="C147" s="21" t="s">
        <v>95</v>
      </c>
      <c r="D147" s="22">
        <v>45324</v>
      </c>
      <c r="E147" s="21">
        <v>149.99</v>
      </c>
      <c r="F147" s="21">
        <v>1</v>
      </c>
      <c r="G147" s="21" t="s">
        <v>150</v>
      </c>
      <c r="H147" s="21">
        <v>164.989</v>
      </c>
    </row>
    <row r="148" spans="1:8">
      <c r="A148" s="21" t="s">
        <v>123</v>
      </c>
      <c r="B148" s="22">
        <v>45322</v>
      </c>
      <c r="C148" s="21" t="s">
        <v>50</v>
      </c>
      <c r="D148" s="22">
        <v>45326</v>
      </c>
      <c r="E148" s="21">
        <v>69.989999999999995</v>
      </c>
      <c r="F148" s="21">
        <v>2</v>
      </c>
      <c r="G148" s="21" t="s">
        <v>153</v>
      </c>
      <c r="H148" s="21">
        <v>153.97800000000001</v>
      </c>
    </row>
    <row r="149" spans="1:8">
      <c r="A149" s="21" t="s">
        <v>124</v>
      </c>
      <c r="B149" s="22">
        <v>45323</v>
      </c>
      <c r="C149" s="21" t="s">
        <v>98</v>
      </c>
      <c r="D149" s="22">
        <v>45324</v>
      </c>
      <c r="E149" s="21">
        <v>39.99</v>
      </c>
      <c r="F149" s="21">
        <v>3</v>
      </c>
      <c r="G149" s="21" t="s">
        <v>152</v>
      </c>
      <c r="H149" s="21">
        <v>131.96700000000001</v>
      </c>
    </row>
    <row r="150" spans="1:8">
      <c r="A150" s="21" t="s">
        <v>125</v>
      </c>
      <c r="B150" s="22">
        <v>45323</v>
      </c>
      <c r="C150" s="21" t="s">
        <v>100</v>
      </c>
      <c r="D150" s="22">
        <v>45327</v>
      </c>
      <c r="E150" s="21">
        <v>199.99</v>
      </c>
      <c r="F150" s="21">
        <v>1</v>
      </c>
      <c r="G150" s="21" t="s">
        <v>155</v>
      </c>
      <c r="H150" s="21">
        <v>219.989</v>
      </c>
    </row>
    <row r="151" spans="1:8">
      <c r="A151" s="21" t="s">
        <v>126</v>
      </c>
      <c r="B151" s="22">
        <v>45323</v>
      </c>
      <c r="C151" s="21" t="s">
        <v>102</v>
      </c>
      <c r="D151" s="22">
        <v>45325</v>
      </c>
      <c r="E151" s="21">
        <v>29.99</v>
      </c>
      <c r="F151" s="21">
        <v>5</v>
      </c>
      <c r="G151" s="21" t="s">
        <v>156</v>
      </c>
      <c r="H151" s="21">
        <v>164.94499999999999</v>
      </c>
    </row>
    <row r="152" spans="1:8">
      <c r="A152" s="21" t="s">
        <v>127</v>
      </c>
      <c r="B152" s="22">
        <v>45324</v>
      </c>
      <c r="C152" s="21" t="s">
        <v>104</v>
      </c>
      <c r="D152" s="22">
        <v>45328</v>
      </c>
      <c r="E152" s="21">
        <v>79.989999999999995</v>
      </c>
      <c r="F152" s="21">
        <v>2</v>
      </c>
      <c r="G152" s="21" t="s">
        <v>151</v>
      </c>
      <c r="H152" s="21">
        <v>175.97800000000001</v>
      </c>
    </row>
    <row r="153" spans="1:8">
      <c r="A153" s="21" t="s">
        <v>128</v>
      </c>
      <c r="B153" s="22">
        <v>45325</v>
      </c>
      <c r="C153" s="21" t="s">
        <v>106</v>
      </c>
      <c r="D153" s="22">
        <v>45328</v>
      </c>
      <c r="E153" s="21">
        <v>49.99</v>
      </c>
      <c r="F153" s="21">
        <v>3</v>
      </c>
      <c r="G153" s="21" t="s">
        <v>157</v>
      </c>
      <c r="H153" s="21">
        <v>164.96700000000001</v>
      </c>
    </row>
    <row r="154" spans="1:8">
      <c r="A154" s="21" t="s">
        <v>129</v>
      </c>
      <c r="B154" s="22">
        <v>45326</v>
      </c>
      <c r="C154" s="21" t="s">
        <v>108</v>
      </c>
      <c r="D154" s="22">
        <v>45327</v>
      </c>
      <c r="E154" s="21">
        <v>129.99</v>
      </c>
      <c r="F154" s="21">
        <v>1</v>
      </c>
      <c r="G154" s="21" t="s">
        <v>158</v>
      </c>
      <c r="H154" s="21">
        <v>142.989</v>
      </c>
    </row>
    <row r="155" spans="1:8">
      <c r="A155" s="21" t="s">
        <v>130</v>
      </c>
      <c r="B155" s="22">
        <v>45326</v>
      </c>
      <c r="C155" s="21" t="s">
        <v>110</v>
      </c>
      <c r="D155" s="22">
        <v>45330</v>
      </c>
      <c r="E155" s="21">
        <v>19.989999999999998</v>
      </c>
      <c r="F155" s="21">
        <v>4</v>
      </c>
      <c r="G155" s="21" t="s">
        <v>149</v>
      </c>
      <c r="H155" s="21">
        <v>87.956000000000003</v>
      </c>
    </row>
    <row r="156" spans="1:8">
      <c r="A156" s="21" t="s">
        <v>131</v>
      </c>
      <c r="B156" s="22">
        <v>45326</v>
      </c>
      <c r="C156" s="21" t="s">
        <v>112</v>
      </c>
      <c r="D156" s="22">
        <v>45329</v>
      </c>
      <c r="E156" s="21">
        <v>149.99</v>
      </c>
      <c r="F156" s="21">
        <v>1</v>
      </c>
      <c r="G156" s="21" t="s">
        <v>150</v>
      </c>
      <c r="H156" s="21">
        <v>164.989</v>
      </c>
    </row>
    <row r="158" spans="1:8">
      <c r="A158" s="21" t="s">
        <v>1</v>
      </c>
    </row>
    <row r="160" spans="1:8">
      <c r="G160" s="21" t="s">
        <v>2</v>
      </c>
      <c r="H160" s="21">
        <v>0.1</v>
      </c>
    </row>
    <row r="162" spans="1:8">
      <c r="A162" s="21" t="s">
        <v>3</v>
      </c>
      <c r="C162" s="21" t="s">
        <v>5</v>
      </c>
      <c r="G162" s="21" t="s">
        <v>9</v>
      </c>
    </row>
    <row r="163" spans="1:8">
      <c r="A163" s="21" t="s">
        <v>11</v>
      </c>
      <c r="B163" s="22">
        <v>45292</v>
      </c>
      <c r="C163" s="21" t="s">
        <v>12</v>
      </c>
      <c r="D163" s="22">
        <v>45294</v>
      </c>
      <c r="E163" s="21">
        <v>49.99</v>
      </c>
      <c r="F163" s="21">
        <v>2</v>
      </c>
      <c r="G163" s="21" t="s">
        <v>146</v>
      </c>
      <c r="H163" s="21">
        <v>109.97799999999999</v>
      </c>
    </row>
    <row r="164" spans="1:8">
      <c r="A164" s="21" t="s">
        <v>13</v>
      </c>
      <c r="B164" s="22">
        <v>45292</v>
      </c>
      <c r="C164" s="21" t="s">
        <v>14</v>
      </c>
      <c r="D164" s="22">
        <v>45295</v>
      </c>
      <c r="E164" s="21">
        <v>29.99</v>
      </c>
      <c r="F164" s="21">
        <v>1</v>
      </c>
      <c r="G164" s="21" t="s">
        <v>147</v>
      </c>
      <c r="H164" s="21">
        <v>32.988999999999997</v>
      </c>
    </row>
    <row r="165" spans="1:8">
      <c r="A165" s="21" t="s">
        <v>15</v>
      </c>
      <c r="B165" s="22">
        <v>45293</v>
      </c>
      <c r="C165" s="21" t="s">
        <v>16</v>
      </c>
      <c r="D165" s="22">
        <v>45298</v>
      </c>
      <c r="E165" s="21">
        <v>99.99</v>
      </c>
      <c r="F165" s="21">
        <v>3</v>
      </c>
      <c r="G165" s="21" t="s">
        <v>148</v>
      </c>
      <c r="H165" s="21">
        <v>329.96699999999998</v>
      </c>
    </row>
    <row r="166" spans="1:8">
      <c r="A166" s="21" t="s">
        <v>17</v>
      </c>
      <c r="B166" s="22">
        <v>45293</v>
      </c>
      <c r="C166" s="21" t="s">
        <v>18</v>
      </c>
      <c r="D166" s="22">
        <v>45294</v>
      </c>
      <c r="E166" s="21">
        <v>19.989999999999998</v>
      </c>
      <c r="F166" s="21">
        <v>4</v>
      </c>
      <c r="G166" s="21" t="s">
        <v>149</v>
      </c>
      <c r="H166" s="21">
        <v>87.956000000000003</v>
      </c>
    </row>
    <row r="167" spans="1:8">
      <c r="A167" s="21" t="s">
        <v>19</v>
      </c>
      <c r="B167" s="22">
        <v>45294</v>
      </c>
      <c r="C167" s="21" t="s">
        <v>20</v>
      </c>
      <c r="D167" s="22">
        <v>45299</v>
      </c>
      <c r="E167" s="21">
        <v>149.99</v>
      </c>
      <c r="F167" s="21">
        <v>1</v>
      </c>
      <c r="G167" s="21" t="s">
        <v>150</v>
      </c>
      <c r="H167" s="21">
        <v>164.989</v>
      </c>
    </row>
    <row r="168" spans="1:8">
      <c r="A168" s="21" t="s">
        <v>21</v>
      </c>
      <c r="B168" s="22">
        <v>45294</v>
      </c>
      <c r="C168" s="21" t="s">
        <v>22</v>
      </c>
      <c r="D168" s="22">
        <v>45297</v>
      </c>
      <c r="E168" s="21">
        <v>79.989999999999995</v>
      </c>
      <c r="F168" s="21">
        <v>2</v>
      </c>
      <c r="G168" s="21" t="s">
        <v>151</v>
      </c>
      <c r="H168" s="21">
        <v>175.97800000000001</v>
      </c>
    </row>
    <row r="169" spans="1:8">
      <c r="A169" s="21" t="s">
        <v>23</v>
      </c>
      <c r="B169" s="22">
        <v>45295</v>
      </c>
      <c r="C169" s="21" t="s">
        <v>24</v>
      </c>
      <c r="D169" s="22">
        <v>45297</v>
      </c>
      <c r="E169" s="21">
        <v>39.99</v>
      </c>
      <c r="F169" s="21">
        <v>3</v>
      </c>
      <c r="G169" s="21" t="s">
        <v>152</v>
      </c>
      <c r="H169" s="21">
        <v>131.96700000000001</v>
      </c>
    </row>
    <row r="170" spans="1:8">
      <c r="A170" s="21" t="s">
        <v>25</v>
      </c>
      <c r="B170" s="22">
        <v>45295</v>
      </c>
      <c r="C170" s="21" t="s">
        <v>26</v>
      </c>
      <c r="D170" s="22">
        <v>45300</v>
      </c>
      <c r="E170" s="21">
        <v>69.989999999999995</v>
      </c>
      <c r="F170" s="21">
        <v>2</v>
      </c>
      <c r="G170" s="21" t="s">
        <v>153</v>
      </c>
      <c r="H170" s="21">
        <v>153.97800000000001</v>
      </c>
    </row>
    <row r="171" spans="1:8">
      <c r="A171" s="21" t="s">
        <v>27</v>
      </c>
      <c r="B171" s="22">
        <v>45296</v>
      </c>
      <c r="C171" s="21" t="s">
        <v>28</v>
      </c>
      <c r="D171" s="22">
        <v>45297</v>
      </c>
      <c r="E171" s="21">
        <v>89.99</v>
      </c>
      <c r="F171" s="21">
        <v>1</v>
      </c>
      <c r="G171" s="21" t="s">
        <v>154</v>
      </c>
      <c r="H171" s="21">
        <v>98.989000000000004</v>
      </c>
    </row>
    <row r="172" spans="1:8">
      <c r="A172" s="21" t="s">
        <v>29</v>
      </c>
      <c r="B172" s="22">
        <v>45296</v>
      </c>
      <c r="C172" s="21" t="s">
        <v>30</v>
      </c>
      <c r="D172" s="22">
        <v>45299</v>
      </c>
      <c r="E172" s="21">
        <v>199.99</v>
      </c>
      <c r="F172" s="21">
        <v>1</v>
      </c>
      <c r="G172" s="21" t="s">
        <v>155</v>
      </c>
      <c r="H172" s="21">
        <v>219.989</v>
      </c>
    </row>
    <row r="173" spans="1:8">
      <c r="A173" s="21" t="s">
        <v>31</v>
      </c>
      <c r="B173" s="22">
        <v>45297</v>
      </c>
      <c r="C173" s="21" t="s">
        <v>32</v>
      </c>
      <c r="D173" s="22">
        <v>45298</v>
      </c>
      <c r="E173" s="21">
        <v>29.99</v>
      </c>
      <c r="F173" s="21">
        <v>5</v>
      </c>
      <c r="G173" s="21" t="s">
        <v>156</v>
      </c>
      <c r="H173" s="21">
        <v>164.94499999999999</v>
      </c>
    </row>
    <row r="174" spans="1:8">
      <c r="A174" s="21" t="s">
        <v>33</v>
      </c>
      <c r="B174" s="22">
        <v>45297</v>
      </c>
      <c r="C174" s="21" t="s">
        <v>34</v>
      </c>
      <c r="D174" s="22">
        <v>45299</v>
      </c>
      <c r="E174" s="21">
        <v>79.989999999999995</v>
      </c>
      <c r="F174" s="21">
        <v>2</v>
      </c>
      <c r="G174" s="21" t="s">
        <v>151</v>
      </c>
      <c r="H174" s="21">
        <v>175.97800000000001</v>
      </c>
    </row>
    <row r="175" spans="1:8">
      <c r="A175" s="21" t="s">
        <v>35</v>
      </c>
      <c r="B175" s="22">
        <v>45298</v>
      </c>
      <c r="C175" s="21" t="s">
        <v>36</v>
      </c>
      <c r="D175" s="22">
        <v>45300</v>
      </c>
      <c r="E175" s="21">
        <v>49.99</v>
      </c>
      <c r="F175" s="21">
        <v>3</v>
      </c>
      <c r="G175" s="21" t="s">
        <v>157</v>
      </c>
      <c r="H175" s="21">
        <v>164.96700000000001</v>
      </c>
    </row>
    <row r="176" spans="1:8">
      <c r="A176" s="21" t="s">
        <v>37</v>
      </c>
      <c r="B176" s="22">
        <v>45298</v>
      </c>
      <c r="C176" s="21" t="s">
        <v>38</v>
      </c>
      <c r="D176" s="22">
        <v>45303</v>
      </c>
      <c r="E176" s="21">
        <v>129.99</v>
      </c>
      <c r="F176" s="21">
        <v>1</v>
      </c>
      <c r="G176" s="21" t="s">
        <v>158</v>
      </c>
      <c r="H176" s="21">
        <v>142.989</v>
      </c>
    </row>
    <row r="177" spans="1:8">
      <c r="A177" s="21" t="s">
        <v>39</v>
      </c>
      <c r="B177" s="22">
        <v>45299</v>
      </c>
      <c r="C177" s="21" t="s">
        <v>40</v>
      </c>
      <c r="D177" s="22">
        <v>45304</v>
      </c>
      <c r="E177" s="21">
        <v>19.989999999999998</v>
      </c>
      <c r="F177" s="21">
        <v>4</v>
      </c>
      <c r="G177" s="21" t="s">
        <v>149</v>
      </c>
      <c r="H177" s="21">
        <v>87.956000000000003</v>
      </c>
    </row>
    <row r="178" spans="1:8">
      <c r="A178" s="21" t="s">
        <v>41</v>
      </c>
      <c r="B178" s="22">
        <v>45299</v>
      </c>
      <c r="C178" s="21" t="s">
        <v>42</v>
      </c>
      <c r="D178" s="22">
        <v>45303</v>
      </c>
      <c r="E178" s="21">
        <v>149.99</v>
      </c>
      <c r="F178" s="21">
        <v>1</v>
      </c>
      <c r="G178" s="21" t="s">
        <v>150</v>
      </c>
      <c r="H178" s="21">
        <v>164.989</v>
      </c>
    </row>
    <row r="179" spans="1:8">
      <c r="A179" s="21" t="s">
        <v>43</v>
      </c>
      <c r="B179" s="22">
        <v>45300</v>
      </c>
      <c r="C179" s="21" t="s">
        <v>44</v>
      </c>
      <c r="D179" s="22">
        <v>45305</v>
      </c>
      <c r="E179" s="21">
        <v>69.989999999999995</v>
      </c>
      <c r="F179" s="21">
        <v>2</v>
      </c>
      <c r="G179" s="21" t="s">
        <v>153</v>
      </c>
      <c r="H179" s="21">
        <v>153.97800000000001</v>
      </c>
    </row>
    <row r="180" spans="1:8">
      <c r="A180" s="21" t="s">
        <v>45</v>
      </c>
      <c r="B180" s="22">
        <v>45300</v>
      </c>
      <c r="C180" s="21" t="s">
        <v>46</v>
      </c>
      <c r="D180" s="22">
        <v>45303</v>
      </c>
      <c r="E180" s="21">
        <v>39.99</v>
      </c>
      <c r="F180" s="21">
        <v>3</v>
      </c>
      <c r="G180" s="21" t="s">
        <v>152</v>
      </c>
      <c r="H180" s="21">
        <v>131.96700000000001</v>
      </c>
    </row>
    <row r="181" spans="1:8">
      <c r="A181" s="21" t="s">
        <v>47</v>
      </c>
      <c r="B181" s="22">
        <v>45301</v>
      </c>
      <c r="C181" s="21" t="s">
        <v>48</v>
      </c>
      <c r="D181" s="22">
        <v>45302</v>
      </c>
      <c r="E181" s="21">
        <v>199.99</v>
      </c>
      <c r="F181" s="21">
        <v>1</v>
      </c>
      <c r="G181" s="21" t="s">
        <v>155</v>
      </c>
      <c r="H181" s="21">
        <v>219.989</v>
      </c>
    </row>
    <row r="182" spans="1:8">
      <c r="A182" s="21" t="s">
        <v>49</v>
      </c>
      <c r="B182" s="22">
        <v>45301</v>
      </c>
      <c r="C182" s="21" t="s">
        <v>50</v>
      </c>
      <c r="D182" s="22">
        <v>45305</v>
      </c>
      <c r="E182" s="21">
        <v>29.99</v>
      </c>
      <c r="F182" s="21">
        <v>5</v>
      </c>
      <c r="G182" s="21" t="s">
        <v>156</v>
      </c>
      <c r="H182" s="21">
        <v>164.94499999999999</v>
      </c>
    </row>
    <row r="183" spans="1:8">
      <c r="A183" s="21" t="s">
        <v>51</v>
      </c>
      <c r="B183" s="22">
        <v>45302</v>
      </c>
      <c r="C183" s="21" t="s">
        <v>52</v>
      </c>
      <c r="D183" s="22">
        <v>45305</v>
      </c>
      <c r="E183" s="21">
        <v>79.989999999999995</v>
      </c>
      <c r="F183" s="21">
        <v>2</v>
      </c>
      <c r="G183" s="21" t="s">
        <v>151</v>
      </c>
      <c r="H183" s="21">
        <v>175.97800000000001</v>
      </c>
    </row>
    <row r="184" spans="1:8">
      <c r="A184" s="21" t="s">
        <v>53</v>
      </c>
      <c r="B184" s="22">
        <v>45302</v>
      </c>
      <c r="C184" s="21" t="s">
        <v>54</v>
      </c>
      <c r="D184" s="22">
        <v>45306</v>
      </c>
      <c r="E184" s="21">
        <v>49.99</v>
      </c>
      <c r="F184" s="21">
        <v>3</v>
      </c>
      <c r="G184" s="21" t="s">
        <v>157</v>
      </c>
      <c r="H184" s="21">
        <v>164.96700000000001</v>
      </c>
    </row>
    <row r="185" spans="1:8">
      <c r="A185" s="21" t="s">
        <v>55</v>
      </c>
      <c r="B185" s="22">
        <v>45303</v>
      </c>
      <c r="C185" s="21" t="s">
        <v>56</v>
      </c>
      <c r="D185" s="22">
        <v>45308</v>
      </c>
      <c r="E185" s="21">
        <v>129.99</v>
      </c>
      <c r="F185" s="21">
        <v>1</v>
      </c>
      <c r="G185" s="21" t="s">
        <v>158</v>
      </c>
      <c r="H185" s="21">
        <v>142.989</v>
      </c>
    </row>
    <row r="186" spans="1:8">
      <c r="A186" s="21" t="s">
        <v>57</v>
      </c>
      <c r="B186" s="22">
        <v>45303</v>
      </c>
      <c r="C186" s="21" t="s">
        <v>58</v>
      </c>
      <c r="D186" s="22">
        <v>45308</v>
      </c>
      <c r="E186" s="21">
        <v>19.989999999999998</v>
      </c>
      <c r="F186" s="21">
        <v>4</v>
      </c>
      <c r="G186" s="21" t="s">
        <v>149</v>
      </c>
      <c r="H186" s="21">
        <v>87.956000000000003</v>
      </c>
    </row>
    <row r="187" spans="1:8">
      <c r="A187" s="21" t="s">
        <v>59</v>
      </c>
      <c r="B187" s="22">
        <v>45304</v>
      </c>
      <c r="C187" s="21" t="s">
        <v>20</v>
      </c>
      <c r="D187" s="22">
        <v>45308</v>
      </c>
      <c r="E187" s="21">
        <v>149.99</v>
      </c>
      <c r="F187" s="21">
        <v>1</v>
      </c>
      <c r="G187" s="21" t="s">
        <v>150</v>
      </c>
      <c r="H187" s="21">
        <v>164.989</v>
      </c>
    </row>
    <row r="188" spans="1:8">
      <c r="A188" s="21" t="s">
        <v>60</v>
      </c>
      <c r="B188" s="22">
        <v>45304</v>
      </c>
      <c r="C188" s="21" t="s">
        <v>61</v>
      </c>
      <c r="D188" s="22">
        <v>45305</v>
      </c>
      <c r="E188" s="21">
        <v>69.989999999999995</v>
      </c>
      <c r="F188" s="21">
        <v>2</v>
      </c>
      <c r="G188" s="21" t="s">
        <v>153</v>
      </c>
      <c r="H188" s="21">
        <v>153.97800000000001</v>
      </c>
    </row>
    <row r="189" spans="1:8">
      <c r="A189" s="21" t="s">
        <v>62</v>
      </c>
      <c r="B189" s="22">
        <v>45305</v>
      </c>
      <c r="C189" s="21" t="s">
        <v>63</v>
      </c>
      <c r="D189" s="22">
        <v>45309</v>
      </c>
      <c r="E189" s="21">
        <v>39.99</v>
      </c>
      <c r="F189" s="21">
        <v>3</v>
      </c>
      <c r="G189" s="21" t="s">
        <v>152</v>
      </c>
      <c r="H189" s="21">
        <v>131.96700000000001</v>
      </c>
    </row>
    <row r="190" spans="1:8">
      <c r="A190" s="21" t="s">
        <v>64</v>
      </c>
      <c r="B190" s="22">
        <v>45305</v>
      </c>
      <c r="C190" s="21" t="s">
        <v>65</v>
      </c>
      <c r="D190" s="22">
        <v>45310</v>
      </c>
      <c r="E190" s="21">
        <v>199.99</v>
      </c>
      <c r="F190" s="21">
        <v>1</v>
      </c>
      <c r="G190" s="21" t="s">
        <v>155</v>
      </c>
      <c r="H190" s="21">
        <v>219.989</v>
      </c>
    </row>
    <row r="191" spans="1:8">
      <c r="A191" s="21" t="s">
        <v>66</v>
      </c>
      <c r="B191" s="22">
        <v>45306</v>
      </c>
      <c r="C191" s="21" t="s">
        <v>67</v>
      </c>
      <c r="D191" s="22">
        <v>45310</v>
      </c>
      <c r="E191" s="21">
        <v>29.99</v>
      </c>
      <c r="F191" s="21">
        <v>5</v>
      </c>
      <c r="G191" s="21" t="s">
        <v>156</v>
      </c>
      <c r="H191" s="21">
        <v>164.94499999999999</v>
      </c>
    </row>
    <row r="192" spans="1:8">
      <c r="A192" s="21" t="s">
        <v>68</v>
      </c>
      <c r="B192" s="22">
        <v>45306</v>
      </c>
      <c r="C192" s="21" t="s">
        <v>69</v>
      </c>
      <c r="D192" s="22">
        <v>45310</v>
      </c>
      <c r="E192" s="21">
        <v>79.989999999999995</v>
      </c>
      <c r="F192" s="21">
        <v>2</v>
      </c>
      <c r="G192" s="21" t="s">
        <v>151</v>
      </c>
      <c r="H192" s="21">
        <v>175.97800000000001</v>
      </c>
    </row>
    <row r="193" spans="1:8">
      <c r="A193" s="21" t="s">
        <v>70</v>
      </c>
      <c r="B193" s="22">
        <v>45307</v>
      </c>
      <c r="C193" s="21" t="s">
        <v>71</v>
      </c>
      <c r="D193" s="22">
        <v>45310</v>
      </c>
      <c r="E193" s="21">
        <v>49.99</v>
      </c>
      <c r="F193" s="21">
        <v>3</v>
      </c>
      <c r="G193" s="21" t="s">
        <v>157</v>
      </c>
      <c r="H193" s="21">
        <v>164.96700000000001</v>
      </c>
    </row>
    <row r="194" spans="1:8">
      <c r="A194" s="21" t="s">
        <v>72</v>
      </c>
      <c r="B194" s="22">
        <v>45307</v>
      </c>
      <c r="C194" s="21" t="s">
        <v>73</v>
      </c>
      <c r="D194" s="22">
        <v>45308</v>
      </c>
      <c r="E194" s="21">
        <v>129.99</v>
      </c>
      <c r="F194" s="21">
        <v>1</v>
      </c>
      <c r="G194" s="21" t="s">
        <v>158</v>
      </c>
      <c r="H194" s="21">
        <v>142.989</v>
      </c>
    </row>
    <row r="195" spans="1:8">
      <c r="A195" s="21" t="s">
        <v>74</v>
      </c>
      <c r="B195" s="22">
        <v>45308</v>
      </c>
      <c r="C195" s="21" t="s">
        <v>75</v>
      </c>
      <c r="D195" s="22">
        <v>45310</v>
      </c>
      <c r="E195" s="21">
        <v>19.989999999999998</v>
      </c>
      <c r="F195" s="21">
        <v>4</v>
      </c>
      <c r="G195" s="21" t="s">
        <v>149</v>
      </c>
      <c r="H195" s="21">
        <v>87.956000000000003</v>
      </c>
    </row>
    <row r="196" spans="1:8">
      <c r="A196" s="21" t="s">
        <v>76</v>
      </c>
      <c r="B196" s="22">
        <v>45308</v>
      </c>
      <c r="C196" s="21" t="s">
        <v>77</v>
      </c>
      <c r="D196" s="22">
        <v>45310</v>
      </c>
      <c r="E196" s="21">
        <v>149.99</v>
      </c>
      <c r="F196" s="21">
        <v>1</v>
      </c>
      <c r="G196" s="21" t="s">
        <v>150</v>
      </c>
      <c r="H196" s="21">
        <v>164.989</v>
      </c>
    </row>
    <row r="197" spans="1:8">
      <c r="A197" s="21" t="s">
        <v>78</v>
      </c>
      <c r="B197" s="22">
        <v>45309</v>
      </c>
      <c r="C197" s="21" t="s">
        <v>79</v>
      </c>
      <c r="D197" s="22">
        <v>45314</v>
      </c>
      <c r="E197" s="21">
        <v>69.989999999999995</v>
      </c>
      <c r="F197" s="21">
        <v>2</v>
      </c>
      <c r="G197" s="21" t="s">
        <v>153</v>
      </c>
      <c r="H197" s="21">
        <v>153.97800000000001</v>
      </c>
    </row>
    <row r="198" spans="1:8">
      <c r="A198" s="21" t="s">
        <v>80</v>
      </c>
      <c r="B198" s="22">
        <v>45309</v>
      </c>
      <c r="C198" s="21" t="s">
        <v>81</v>
      </c>
      <c r="D198" s="22">
        <v>45310</v>
      </c>
      <c r="E198" s="21">
        <v>39.99</v>
      </c>
      <c r="F198" s="21">
        <v>3</v>
      </c>
      <c r="G198" s="21" t="s">
        <v>152</v>
      </c>
      <c r="H198" s="21">
        <v>131.96700000000001</v>
      </c>
    </row>
    <row r="199" spans="1:8">
      <c r="A199" s="21" t="s">
        <v>82</v>
      </c>
      <c r="B199" s="22">
        <v>45310</v>
      </c>
      <c r="C199" s="21" t="s">
        <v>83</v>
      </c>
      <c r="D199" s="22">
        <v>45311</v>
      </c>
      <c r="E199" s="21">
        <v>199.99</v>
      </c>
      <c r="F199" s="21">
        <v>1</v>
      </c>
      <c r="G199" s="21" t="s">
        <v>155</v>
      </c>
      <c r="H199" s="21">
        <v>219.989</v>
      </c>
    </row>
    <row r="200" spans="1:8">
      <c r="A200" s="21" t="s">
        <v>84</v>
      </c>
      <c r="B200" s="22">
        <v>45310</v>
      </c>
      <c r="C200" s="21" t="s">
        <v>85</v>
      </c>
      <c r="D200" s="22">
        <v>45313</v>
      </c>
      <c r="E200" s="21">
        <v>29.99</v>
      </c>
      <c r="F200" s="21">
        <v>5</v>
      </c>
      <c r="G200" s="21" t="s">
        <v>156</v>
      </c>
      <c r="H200" s="21">
        <v>164.94499999999999</v>
      </c>
    </row>
    <row r="201" spans="1:8">
      <c r="A201" s="21" t="s">
        <v>86</v>
      </c>
      <c r="B201" s="22">
        <v>45311</v>
      </c>
      <c r="C201" s="21" t="s">
        <v>16</v>
      </c>
      <c r="D201" s="22">
        <v>45315</v>
      </c>
      <c r="E201" s="21">
        <v>79.989999999999995</v>
      </c>
      <c r="F201" s="21">
        <v>2</v>
      </c>
      <c r="G201" s="21" t="s">
        <v>151</v>
      </c>
      <c r="H201" s="21">
        <v>175.97800000000001</v>
      </c>
    </row>
    <row r="202" spans="1:8">
      <c r="A202" s="21" t="s">
        <v>87</v>
      </c>
      <c r="B202" s="22">
        <v>45311</v>
      </c>
      <c r="C202" s="21" t="s">
        <v>58</v>
      </c>
      <c r="D202" s="22">
        <v>45312</v>
      </c>
      <c r="E202" s="21">
        <v>49.99</v>
      </c>
      <c r="F202" s="21">
        <v>3</v>
      </c>
      <c r="G202" s="21" t="s">
        <v>157</v>
      </c>
      <c r="H202" s="21">
        <v>164.96700000000001</v>
      </c>
    </row>
    <row r="203" spans="1:8">
      <c r="A203" s="21" t="s">
        <v>88</v>
      </c>
      <c r="B203" s="22">
        <v>45312</v>
      </c>
      <c r="C203" s="21" t="s">
        <v>20</v>
      </c>
      <c r="D203" s="22">
        <v>45317</v>
      </c>
      <c r="E203" s="21">
        <v>129.99</v>
      </c>
      <c r="F203" s="21">
        <v>1</v>
      </c>
      <c r="G203" s="21" t="s">
        <v>158</v>
      </c>
      <c r="H203" s="21">
        <v>142.989</v>
      </c>
    </row>
    <row r="204" spans="1:8">
      <c r="A204" s="21" t="s">
        <v>89</v>
      </c>
      <c r="B204" s="22">
        <v>45312</v>
      </c>
      <c r="C204" s="21" t="s">
        <v>90</v>
      </c>
      <c r="D204" s="22">
        <v>45314</v>
      </c>
      <c r="E204" s="21">
        <v>19.989999999999998</v>
      </c>
      <c r="F204" s="21">
        <v>4</v>
      </c>
      <c r="G204" s="21" t="s">
        <v>149</v>
      </c>
      <c r="H204" s="21">
        <v>87.956000000000003</v>
      </c>
    </row>
    <row r="205" spans="1:8">
      <c r="A205" s="21" t="s">
        <v>91</v>
      </c>
      <c r="B205" s="22">
        <v>45313</v>
      </c>
      <c r="C205" s="21" t="s">
        <v>92</v>
      </c>
      <c r="D205" s="22">
        <v>45316</v>
      </c>
      <c r="E205" s="21">
        <v>149.99</v>
      </c>
      <c r="F205" s="21">
        <v>1</v>
      </c>
      <c r="G205" s="21" t="s">
        <v>150</v>
      </c>
      <c r="H205" s="21">
        <v>164.989</v>
      </c>
    </row>
    <row r="206" spans="1:8">
      <c r="A206" s="21" t="s">
        <v>93</v>
      </c>
      <c r="B206" s="22">
        <v>45313</v>
      </c>
      <c r="C206" s="21" t="s">
        <v>18</v>
      </c>
      <c r="D206" s="22">
        <v>45316</v>
      </c>
      <c r="E206" s="21">
        <v>69.989999999999995</v>
      </c>
      <c r="F206" s="21">
        <v>2</v>
      </c>
      <c r="G206" s="21" t="s">
        <v>153</v>
      </c>
      <c r="H206" s="21">
        <v>153.97800000000001</v>
      </c>
    </row>
    <row r="207" spans="1:8">
      <c r="A207" s="21" t="s">
        <v>94</v>
      </c>
      <c r="B207" s="22">
        <v>45314</v>
      </c>
      <c r="C207" s="21" t="s">
        <v>95</v>
      </c>
      <c r="D207" s="22">
        <v>45318</v>
      </c>
      <c r="E207" s="21">
        <v>39.99</v>
      </c>
      <c r="F207" s="21">
        <v>3</v>
      </c>
      <c r="G207" s="21" t="s">
        <v>152</v>
      </c>
      <c r="H207" s="21">
        <v>131.96700000000001</v>
      </c>
    </row>
    <row r="208" spans="1:8">
      <c r="A208" s="21" t="s">
        <v>96</v>
      </c>
      <c r="B208" s="22">
        <v>45314</v>
      </c>
      <c r="C208" s="21" t="s">
        <v>50</v>
      </c>
      <c r="D208" s="22">
        <v>45317</v>
      </c>
      <c r="E208" s="21">
        <v>199.99</v>
      </c>
      <c r="F208" s="21">
        <v>1</v>
      </c>
      <c r="G208" s="21" t="s">
        <v>155</v>
      </c>
      <c r="H208" s="21">
        <v>219.989</v>
      </c>
    </row>
    <row r="209" spans="1:8">
      <c r="A209" s="21" t="s">
        <v>97</v>
      </c>
      <c r="B209" s="22">
        <v>45315</v>
      </c>
      <c r="C209" s="21" t="s">
        <v>98</v>
      </c>
      <c r="D209" s="22">
        <v>45316</v>
      </c>
      <c r="E209" s="21">
        <v>29.99</v>
      </c>
      <c r="F209" s="21">
        <v>5</v>
      </c>
      <c r="G209" s="21" t="s">
        <v>156</v>
      </c>
      <c r="H209" s="21">
        <v>164.94499999999999</v>
      </c>
    </row>
    <row r="210" spans="1:8">
      <c r="A210" s="21" t="s">
        <v>99</v>
      </c>
      <c r="B210" s="22">
        <v>45315</v>
      </c>
      <c r="C210" s="21" t="s">
        <v>100</v>
      </c>
      <c r="D210" s="22">
        <v>45317</v>
      </c>
      <c r="E210" s="21">
        <v>79.989999999999995</v>
      </c>
      <c r="F210" s="21">
        <v>2</v>
      </c>
      <c r="G210" s="21" t="s">
        <v>151</v>
      </c>
      <c r="H210" s="21">
        <v>175.97800000000001</v>
      </c>
    </row>
    <row r="211" spans="1:8">
      <c r="A211" s="21" t="s">
        <v>101</v>
      </c>
      <c r="B211" s="22">
        <v>45316</v>
      </c>
      <c r="C211" s="21" t="s">
        <v>102</v>
      </c>
      <c r="D211" s="22">
        <v>45321</v>
      </c>
      <c r="E211" s="21">
        <v>49.99</v>
      </c>
      <c r="F211" s="21">
        <v>3</v>
      </c>
      <c r="G211" s="21" t="s">
        <v>157</v>
      </c>
      <c r="H211" s="21">
        <v>164.96700000000001</v>
      </c>
    </row>
    <row r="212" spans="1:8">
      <c r="A212" s="21" t="s">
        <v>103</v>
      </c>
      <c r="B212" s="22">
        <v>45316</v>
      </c>
      <c r="C212" s="21" t="s">
        <v>104</v>
      </c>
      <c r="D212" s="22">
        <v>45318</v>
      </c>
      <c r="E212" s="21">
        <v>129.99</v>
      </c>
      <c r="F212" s="21">
        <v>1</v>
      </c>
      <c r="G212" s="21" t="s">
        <v>158</v>
      </c>
      <c r="H212" s="21">
        <v>142.989</v>
      </c>
    </row>
    <row r="213" spans="1:8">
      <c r="A213" s="21" t="s">
        <v>105</v>
      </c>
      <c r="B213" s="22">
        <v>45317</v>
      </c>
      <c r="C213" s="21" t="s">
        <v>106</v>
      </c>
      <c r="D213" s="22">
        <v>45320</v>
      </c>
      <c r="E213" s="21">
        <v>19.989999999999998</v>
      </c>
      <c r="F213" s="21">
        <v>4</v>
      </c>
      <c r="G213" s="21" t="s">
        <v>149</v>
      </c>
      <c r="H213" s="21">
        <v>87.956000000000003</v>
      </c>
    </row>
    <row r="214" spans="1:8">
      <c r="A214" s="21" t="s">
        <v>107</v>
      </c>
      <c r="B214" s="22">
        <v>45317</v>
      </c>
      <c r="C214" s="21" t="s">
        <v>108</v>
      </c>
      <c r="D214" s="22">
        <v>45319</v>
      </c>
      <c r="E214" s="21">
        <v>149.99</v>
      </c>
      <c r="F214" s="21">
        <v>1</v>
      </c>
      <c r="G214" s="21" t="s">
        <v>150</v>
      </c>
      <c r="H214" s="21">
        <v>164.989</v>
      </c>
    </row>
    <row r="215" spans="1:8">
      <c r="A215" s="21" t="s">
        <v>109</v>
      </c>
      <c r="B215" s="22">
        <v>45318</v>
      </c>
      <c r="C215" s="21" t="s">
        <v>110</v>
      </c>
      <c r="D215" s="22">
        <v>45322</v>
      </c>
      <c r="E215" s="21">
        <v>69.989999999999995</v>
      </c>
      <c r="F215" s="21">
        <v>2</v>
      </c>
      <c r="G215" s="21" t="s">
        <v>153</v>
      </c>
      <c r="H215" s="21">
        <v>153.97800000000001</v>
      </c>
    </row>
    <row r="216" spans="1:8">
      <c r="A216" s="21" t="s">
        <v>111</v>
      </c>
      <c r="B216" s="22">
        <v>45318</v>
      </c>
      <c r="C216" s="21" t="s">
        <v>112</v>
      </c>
      <c r="D216" s="22">
        <v>45322</v>
      </c>
      <c r="E216" s="21">
        <v>39.99</v>
      </c>
      <c r="F216" s="21">
        <v>3</v>
      </c>
      <c r="G216" s="21" t="s">
        <v>152</v>
      </c>
      <c r="H216" s="21">
        <v>131.96700000000001</v>
      </c>
    </row>
    <row r="217" spans="1:8">
      <c r="A217" s="21" t="s">
        <v>113</v>
      </c>
      <c r="B217" s="22">
        <v>45319</v>
      </c>
      <c r="C217" s="21" t="s">
        <v>114</v>
      </c>
      <c r="D217" s="22">
        <v>45320</v>
      </c>
      <c r="E217" s="21">
        <v>199.99</v>
      </c>
      <c r="F217" s="21">
        <v>1</v>
      </c>
      <c r="G217" s="21" t="s">
        <v>155</v>
      </c>
      <c r="H217" s="21">
        <v>219.989</v>
      </c>
    </row>
    <row r="218" spans="1:8">
      <c r="A218" s="21" t="s">
        <v>115</v>
      </c>
      <c r="B218" s="22">
        <v>45319</v>
      </c>
      <c r="C218" s="21" t="s">
        <v>116</v>
      </c>
      <c r="D218" s="22">
        <v>45320</v>
      </c>
      <c r="E218" s="21">
        <v>29.99</v>
      </c>
      <c r="F218" s="21">
        <v>5</v>
      </c>
      <c r="G218" s="21" t="s">
        <v>156</v>
      </c>
      <c r="H218" s="21">
        <v>164.94499999999999</v>
      </c>
    </row>
    <row r="219" spans="1:8">
      <c r="A219" s="21" t="s">
        <v>117</v>
      </c>
      <c r="B219" s="22">
        <v>45320</v>
      </c>
      <c r="C219" s="21" t="s">
        <v>118</v>
      </c>
      <c r="D219" s="22">
        <v>45321</v>
      </c>
      <c r="E219" s="21">
        <v>79.989999999999995</v>
      </c>
      <c r="F219" s="21">
        <v>2</v>
      </c>
      <c r="G219" s="21" t="s">
        <v>151</v>
      </c>
      <c r="H219" s="21">
        <v>175.97800000000001</v>
      </c>
    </row>
    <row r="220" spans="1:8">
      <c r="A220" s="21" t="s">
        <v>119</v>
      </c>
      <c r="B220" s="22">
        <v>45320</v>
      </c>
      <c r="C220" s="21" t="s">
        <v>90</v>
      </c>
      <c r="D220" s="22">
        <v>45322</v>
      </c>
      <c r="E220" s="21">
        <v>49.99</v>
      </c>
      <c r="F220" s="21">
        <v>3</v>
      </c>
      <c r="G220" s="21" t="s">
        <v>157</v>
      </c>
      <c r="H220" s="21">
        <v>164.96700000000001</v>
      </c>
    </row>
    <row r="221" spans="1:8">
      <c r="A221" s="21" t="s">
        <v>120</v>
      </c>
      <c r="B221" s="22">
        <v>45321</v>
      </c>
      <c r="C221" s="21" t="s">
        <v>92</v>
      </c>
      <c r="D221" s="22">
        <v>45322</v>
      </c>
      <c r="E221" s="21">
        <v>129.99</v>
      </c>
      <c r="F221" s="21">
        <v>1</v>
      </c>
      <c r="G221" s="21" t="s">
        <v>158</v>
      </c>
      <c r="H221" s="21">
        <v>142.989</v>
      </c>
    </row>
    <row r="222" spans="1:8">
      <c r="A222" s="21" t="s">
        <v>121</v>
      </c>
      <c r="B222" s="22">
        <v>45321</v>
      </c>
      <c r="C222" s="21" t="s">
        <v>18</v>
      </c>
      <c r="D222" s="22">
        <v>45323</v>
      </c>
      <c r="E222" s="21">
        <v>19.989999999999998</v>
      </c>
      <c r="F222" s="21">
        <v>4</v>
      </c>
      <c r="G222" s="21" t="s">
        <v>149</v>
      </c>
      <c r="H222" s="21">
        <v>87.956000000000003</v>
      </c>
    </row>
    <row r="223" spans="1:8">
      <c r="A223" s="21" t="s">
        <v>122</v>
      </c>
      <c r="B223" s="22">
        <v>45322</v>
      </c>
      <c r="C223" s="21" t="s">
        <v>95</v>
      </c>
      <c r="D223" s="22">
        <v>45324</v>
      </c>
      <c r="E223" s="21">
        <v>149.99</v>
      </c>
      <c r="F223" s="21">
        <v>1</v>
      </c>
      <c r="G223" s="21" t="s">
        <v>150</v>
      </c>
      <c r="H223" s="21">
        <v>164.989</v>
      </c>
    </row>
    <row r="224" spans="1:8">
      <c r="A224" s="21" t="s">
        <v>123</v>
      </c>
      <c r="B224" s="22">
        <v>45322</v>
      </c>
      <c r="C224" s="21" t="s">
        <v>50</v>
      </c>
      <c r="D224" s="22">
        <v>45326</v>
      </c>
      <c r="E224" s="21">
        <v>69.989999999999995</v>
      </c>
      <c r="F224" s="21">
        <v>2</v>
      </c>
      <c r="G224" s="21" t="s">
        <v>153</v>
      </c>
      <c r="H224" s="21">
        <v>153.97800000000001</v>
      </c>
    </row>
    <row r="225" spans="1:8">
      <c r="A225" s="21" t="s">
        <v>124</v>
      </c>
      <c r="B225" s="22">
        <v>45323</v>
      </c>
      <c r="C225" s="21" t="s">
        <v>98</v>
      </c>
      <c r="D225" s="22">
        <v>45324</v>
      </c>
      <c r="E225" s="21">
        <v>39.99</v>
      </c>
      <c r="F225" s="21">
        <v>3</v>
      </c>
      <c r="G225" s="21" t="s">
        <v>152</v>
      </c>
      <c r="H225" s="21">
        <v>131.96700000000001</v>
      </c>
    </row>
    <row r="226" spans="1:8">
      <c r="A226" s="21" t="s">
        <v>125</v>
      </c>
      <c r="B226" s="22">
        <v>45323</v>
      </c>
      <c r="C226" s="21" t="s">
        <v>100</v>
      </c>
      <c r="D226" s="22">
        <v>45327</v>
      </c>
      <c r="E226" s="21">
        <v>199.99</v>
      </c>
      <c r="F226" s="21">
        <v>1</v>
      </c>
      <c r="G226" s="21" t="s">
        <v>155</v>
      </c>
      <c r="H226" s="21">
        <v>219.989</v>
      </c>
    </row>
    <row r="227" spans="1:8">
      <c r="A227" s="21" t="s">
        <v>126</v>
      </c>
      <c r="B227" s="22">
        <v>45323</v>
      </c>
      <c r="C227" s="21" t="s">
        <v>102</v>
      </c>
      <c r="D227" s="22">
        <v>45325</v>
      </c>
      <c r="E227" s="21">
        <v>29.99</v>
      </c>
      <c r="F227" s="21">
        <v>5</v>
      </c>
      <c r="G227" s="21" t="s">
        <v>156</v>
      </c>
      <c r="H227" s="21">
        <v>164.94499999999999</v>
      </c>
    </row>
    <row r="228" spans="1:8">
      <c r="A228" s="21" t="s">
        <v>127</v>
      </c>
      <c r="B228" s="22">
        <v>45324</v>
      </c>
      <c r="C228" s="21" t="s">
        <v>104</v>
      </c>
      <c r="D228" s="22">
        <v>45328</v>
      </c>
      <c r="E228" s="21">
        <v>79.989999999999995</v>
      </c>
      <c r="F228" s="21">
        <v>2</v>
      </c>
      <c r="G228" s="21" t="s">
        <v>151</v>
      </c>
      <c r="H228" s="21">
        <v>175.97800000000001</v>
      </c>
    </row>
    <row r="229" spans="1:8">
      <c r="A229" s="21" t="s">
        <v>128</v>
      </c>
      <c r="B229" s="22">
        <v>45325</v>
      </c>
      <c r="C229" s="21" t="s">
        <v>106</v>
      </c>
      <c r="D229" s="22">
        <v>45328</v>
      </c>
      <c r="E229" s="21">
        <v>49.99</v>
      </c>
      <c r="F229" s="21">
        <v>3</v>
      </c>
      <c r="G229" s="21" t="s">
        <v>157</v>
      </c>
      <c r="H229" s="21">
        <v>164.96700000000001</v>
      </c>
    </row>
    <row r="230" spans="1:8">
      <c r="A230" s="21" t="s">
        <v>129</v>
      </c>
      <c r="B230" s="22">
        <v>45326</v>
      </c>
      <c r="C230" s="21" t="s">
        <v>108</v>
      </c>
      <c r="D230" s="22">
        <v>45327</v>
      </c>
      <c r="E230" s="21">
        <v>129.99</v>
      </c>
      <c r="F230" s="21">
        <v>1</v>
      </c>
      <c r="G230" s="21" t="s">
        <v>158</v>
      </c>
      <c r="H230" s="21">
        <v>142.989</v>
      </c>
    </row>
    <row r="231" spans="1:8">
      <c r="A231" s="21" t="s">
        <v>130</v>
      </c>
      <c r="B231" s="22">
        <v>45326</v>
      </c>
      <c r="C231" s="21" t="s">
        <v>110</v>
      </c>
      <c r="D231" s="22">
        <v>45330</v>
      </c>
      <c r="E231" s="21">
        <v>19.989999999999998</v>
      </c>
      <c r="F231" s="21">
        <v>4</v>
      </c>
      <c r="G231" s="21" t="s">
        <v>149</v>
      </c>
      <c r="H231" s="21">
        <v>87.956000000000003</v>
      </c>
    </row>
    <row r="232" spans="1:8">
      <c r="A232" s="21" t="s">
        <v>131</v>
      </c>
      <c r="B232" s="22">
        <v>45326</v>
      </c>
      <c r="C232" s="21" t="s">
        <v>112</v>
      </c>
      <c r="D232" s="22">
        <v>45329</v>
      </c>
      <c r="E232" s="21">
        <v>149.99</v>
      </c>
      <c r="F232" s="21">
        <v>1</v>
      </c>
      <c r="G232" s="21" t="s">
        <v>150</v>
      </c>
      <c r="H232" s="21">
        <v>164.989</v>
      </c>
    </row>
    <row r="236" spans="1:8">
      <c r="A236" s="21" t="s">
        <v>1</v>
      </c>
    </row>
    <row r="238" spans="1:8">
      <c r="G238" s="21" t="s">
        <v>2</v>
      </c>
      <c r="H238" s="21">
        <v>0.1</v>
      </c>
    </row>
    <row r="240" spans="1:8">
      <c r="A240" s="21" t="s">
        <v>3</v>
      </c>
      <c r="C240" s="21" t="s">
        <v>5</v>
      </c>
      <c r="G240" s="21" t="s">
        <v>9</v>
      </c>
    </row>
    <row r="241" spans="1:8">
      <c r="A241" s="21" t="s">
        <v>11</v>
      </c>
      <c r="B241" s="22">
        <v>45292</v>
      </c>
      <c r="C241" s="21" t="s">
        <v>12</v>
      </c>
      <c r="D241" s="22">
        <v>45294</v>
      </c>
      <c r="E241" s="21">
        <v>49.99</v>
      </c>
      <c r="F241" s="21">
        <v>2</v>
      </c>
      <c r="G241" s="21" t="s">
        <v>146</v>
      </c>
      <c r="H241" s="21">
        <v>109.97799999999999</v>
      </c>
    </row>
    <row r="242" spans="1:8">
      <c r="A242" s="21" t="s">
        <v>13</v>
      </c>
      <c r="B242" s="22">
        <v>45292</v>
      </c>
      <c r="C242" s="21" t="s">
        <v>14</v>
      </c>
      <c r="D242" s="22">
        <v>45295</v>
      </c>
      <c r="E242" s="21">
        <v>29.99</v>
      </c>
      <c r="F242" s="21">
        <v>1</v>
      </c>
      <c r="G242" s="21" t="s">
        <v>147</v>
      </c>
      <c r="H242" s="21">
        <v>32.988999999999997</v>
      </c>
    </row>
    <row r="243" spans="1:8">
      <c r="A243" s="21" t="s">
        <v>15</v>
      </c>
      <c r="B243" s="22">
        <v>45293</v>
      </c>
      <c r="C243" s="21" t="s">
        <v>16</v>
      </c>
      <c r="D243" s="22">
        <v>45298</v>
      </c>
      <c r="E243" s="21">
        <v>99.99</v>
      </c>
      <c r="F243" s="21">
        <v>3</v>
      </c>
      <c r="G243" s="21" t="s">
        <v>148</v>
      </c>
      <c r="H243" s="21">
        <v>329.96699999999998</v>
      </c>
    </row>
    <row r="244" spans="1:8">
      <c r="A244" s="21" t="s">
        <v>17</v>
      </c>
      <c r="B244" s="22">
        <v>45293</v>
      </c>
      <c r="C244" s="21" t="s">
        <v>18</v>
      </c>
      <c r="D244" s="22">
        <v>45294</v>
      </c>
      <c r="E244" s="21">
        <v>19.989999999999998</v>
      </c>
      <c r="F244" s="21">
        <v>4</v>
      </c>
      <c r="G244" s="21" t="s">
        <v>149</v>
      </c>
      <c r="H244" s="21">
        <v>87.956000000000003</v>
      </c>
    </row>
    <row r="245" spans="1:8">
      <c r="A245" s="21" t="s">
        <v>19</v>
      </c>
      <c r="B245" s="22">
        <v>45294</v>
      </c>
      <c r="C245" s="21" t="s">
        <v>20</v>
      </c>
      <c r="D245" s="22">
        <v>45299</v>
      </c>
      <c r="E245" s="21">
        <v>149.99</v>
      </c>
      <c r="F245" s="21">
        <v>1</v>
      </c>
      <c r="G245" s="21" t="s">
        <v>150</v>
      </c>
      <c r="H245" s="21">
        <v>164.989</v>
      </c>
    </row>
    <row r="246" spans="1:8">
      <c r="A246" s="21" t="s">
        <v>21</v>
      </c>
      <c r="B246" s="22">
        <v>45294</v>
      </c>
      <c r="C246" s="21" t="s">
        <v>22</v>
      </c>
      <c r="D246" s="22">
        <v>45297</v>
      </c>
      <c r="E246" s="21">
        <v>79.989999999999995</v>
      </c>
      <c r="F246" s="21">
        <v>2</v>
      </c>
      <c r="G246" s="21" t="s">
        <v>151</v>
      </c>
      <c r="H246" s="21">
        <v>175.97800000000001</v>
      </c>
    </row>
    <row r="247" spans="1:8">
      <c r="A247" s="21" t="s">
        <v>23</v>
      </c>
      <c r="B247" s="22">
        <v>45295</v>
      </c>
      <c r="C247" s="21" t="s">
        <v>24</v>
      </c>
      <c r="D247" s="22">
        <v>45297</v>
      </c>
      <c r="E247" s="21">
        <v>39.99</v>
      </c>
      <c r="F247" s="21">
        <v>3</v>
      </c>
      <c r="G247" s="21" t="s">
        <v>152</v>
      </c>
      <c r="H247" s="21">
        <v>131.96700000000001</v>
      </c>
    </row>
    <row r="248" spans="1:8">
      <c r="A248" s="21" t="s">
        <v>25</v>
      </c>
      <c r="B248" s="22">
        <v>45295</v>
      </c>
      <c r="C248" s="21" t="s">
        <v>26</v>
      </c>
      <c r="D248" s="22">
        <v>45300</v>
      </c>
      <c r="E248" s="21">
        <v>69.989999999999995</v>
      </c>
      <c r="F248" s="21">
        <v>2</v>
      </c>
      <c r="G248" s="21" t="s">
        <v>153</v>
      </c>
      <c r="H248" s="21">
        <v>153.97800000000001</v>
      </c>
    </row>
    <row r="249" spans="1:8">
      <c r="A249" s="21" t="s">
        <v>27</v>
      </c>
      <c r="B249" s="22">
        <v>45296</v>
      </c>
      <c r="C249" s="21" t="s">
        <v>28</v>
      </c>
      <c r="D249" s="22">
        <v>45297</v>
      </c>
      <c r="E249" s="21">
        <v>89.99</v>
      </c>
      <c r="F249" s="21">
        <v>1</v>
      </c>
      <c r="G249" s="21" t="s">
        <v>154</v>
      </c>
      <c r="H249" s="21">
        <v>98.989000000000004</v>
      </c>
    </row>
    <row r="250" spans="1:8">
      <c r="A250" s="21" t="s">
        <v>29</v>
      </c>
      <c r="B250" s="22">
        <v>45296</v>
      </c>
      <c r="C250" s="21" t="s">
        <v>30</v>
      </c>
      <c r="D250" s="22">
        <v>45299</v>
      </c>
      <c r="E250" s="21">
        <v>199.99</v>
      </c>
      <c r="F250" s="21">
        <v>1</v>
      </c>
      <c r="G250" s="21" t="s">
        <v>155</v>
      </c>
      <c r="H250" s="21">
        <v>219.989</v>
      </c>
    </row>
    <row r="251" spans="1:8">
      <c r="A251" s="21" t="s">
        <v>31</v>
      </c>
      <c r="B251" s="22">
        <v>45297</v>
      </c>
      <c r="C251" s="21" t="s">
        <v>32</v>
      </c>
      <c r="D251" s="22">
        <v>45298</v>
      </c>
      <c r="E251" s="21">
        <v>29.99</v>
      </c>
      <c r="F251" s="21">
        <v>5</v>
      </c>
      <c r="G251" s="21" t="s">
        <v>156</v>
      </c>
      <c r="H251" s="21">
        <v>164.94499999999999</v>
      </c>
    </row>
    <row r="252" spans="1:8">
      <c r="A252" s="21" t="s">
        <v>33</v>
      </c>
      <c r="B252" s="22">
        <v>45297</v>
      </c>
      <c r="C252" s="21" t="s">
        <v>34</v>
      </c>
      <c r="D252" s="22">
        <v>45299</v>
      </c>
      <c r="E252" s="21">
        <v>79.989999999999995</v>
      </c>
      <c r="F252" s="21">
        <v>2</v>
      </c>
      <c r="G252" s="21" t="s">
        <v>151</v>
      </c>
      <c r="H252" s="21">
        <v>175.97800000000001</v>
      </c>
    </row>
    <row r="253" spans="1:8">
      <c r="A253" s="21" t="s">
        <v>35</v>
      </c>
      <c r="B253" s="22">
        <v>45298</v>
      </c>
      <c r="C253" s="21" t="s">
        <v>36</v>
      </c>
      <c r="D253" s="22">
        <v>45300</v>
      </c>
      <c r="E253" s="21">
        <v>49.99</v>
      </c>
      <c r="F253" s="21">
        <v>3</v>
      </c>
      <c r="G253" s="21" t="s">
        <v>157</v>
      </c>
      <c r="H253" s="21">
        <v>164.96700000000001</v>
      </c>
    </row>
    <row r="254" spans="1:8">
      <c r="A254" s="21" t="s">
        <v>37</v>
      </c>
      <c r="B254" s="22">
        <v>45298</v>
      </c>
      <c r="C254" s="21" t="s">
        <v>38</v>
      </c>
      <c r="D254" s="22">
        <v>45303</v>
      </c>
      <c r="E254" s="21">
        <v>129.99</v>
      </c>
      <c r="F254" s="21">
        <v>1</v>
      </c>
      <c r="G254" s="21" t="s">
        <v>158</v>
      </c>
      <c r="H254" s="21">
        <v>142.989</v>
      </c>
    </row>
    <row r="255" spans="1:8">
      <c r="A255" s="21" t="s">
        <v>39</v>
      </c>
      <c r="B255" s="22">
        <v>45299</v>
      </c>
      <c r="C255" s="21" t="s">
        <v>40</v>
      </c>
      <c r="D255" s="22">
        <v>45304</v>
      </c>
      <c r="E255" s="21">
        <v>19.989999999999998</v>
      </c>
      <c r="F255" s="21">
        <v>4</v>
      </c>
      <c r="G255" s="21" t="s">
        <v>149</v>
      </c>
      <c r="H255" s="21">
        <v>87.956000000000003</v>
      </c>
    </row>
    <row r="256" spans="1:8">
      <c r="A256" s="21" t="s">
        <v>41</v>
      </c>
      <c r="B256" s="22">
        <v>45299</v>
      </c>
      <c r="C256" s="21" t="s">
        <v>42</v>
      </c>
      <c r="D256" s="22">
        <v>45303</v>
      </c>
      <c r="E256" s="21">
        <v>149.99</v>
      </c>
      <c r="F256" s="21">
        <v>1</v>
      </c>
      <c r="G256" s="21" t="s">
        <v>150</v>
      </c>
      <c r="H256" s="21">
        <v>164.989</v>
      </c>
    </row>
    <row r="257" spans="1:8">
      <c r="A257" s="21" t="s">
        <v>43</v>
      </c>
      <c r="B257" s="22">
        <v>45300</v>
      </c>
      <c r="C257" s="21" t="s">
        <v>44</v>
      </c>
      <c r="D257" s="22">
        <v>45305</v>
      </c>
      <c r="E257" s="21">
        <v>69.989999999999995</v>
      </c>
      <c r="F257" s="21">
        <v>2</v>
      </c>
      <c r="G257" s="21" t="s">
        <v>153</v>
      </c>
      <c r="H257" s="21">
        <v>153.97800000000001</v>
      </c>
    </row>
    <row r="258" spans="1:8">
      <c r="A258" s="21" t="s">
        <v>45</v>
      </c>
      <c r="B258" s="22">
        <v>45300</v>
      </c>
      <c r="C258" s="21" t="s">
        <v>46</v>
      </c>
      <c r="D258" s="22">
        <v>45303</v>
      </c>
      <c r="E258" s="21">
        <v>39.99</v>
      </c>
      <c r="F258" s="21">
        <v>3</v>
      </c>
      <c r="G258" s="21" t="s">
        <v>152</v>
      </c>
      <c r="H258" s="21">
        <v>131.96700000000001</v>
      </c>
    </row>
    <row r="259" spans="1:8">
      <c r="A259" s="21" t="s">
        <v>47</v>
      </c>
      <c r="B259" s="22">
        <v>45301</v>
      </c>
      <c r="C259" s="21" t="s">
        <v>48</v>
      </c>
      <c r="D259" s="22">
        <v>45302</v>
      </c>
      <c r="E259" s="21">
        <v>199.99</v>
      </c>
      <c r="F259" s="21">
        <v>1</v>
      </c>
      <c r="G259" s="21" t="s">
        <v>155</v>
      </c>
      <c r="H259" s="21">
        <v>219.989</v>
      </c>
    </row>
    <row r="260" spans="1:8">
      <c r="A260" s="21" t="s">
        <v>49</v>
      </c>
      <c r="B260" s="22">
        <v>45301</v>
      </c>
      <c r="C260" s="21" t="s">
        <v>50</v>
      </c>
      <c r="D260" s="22">
        <v>45305</v>
      </c>
      <c r="E260" s="21">
        <v>29.99</v>
      </c>
      <c r="F260" s="21">
        <v>5</v>
      </c>
      <c r="G260" s="21" t="s">
        <v>156</v>
      </c>
      <c r="H260" s="21">
        <v>164.94499999999999</v>
      </c>
    </row>
    <row r="261" spans="1:8">
      <c r="A261" s="21" t="s">
        <v>51</v>
      </c>
      <c r="B261" s="22">
        <v>45302</v>
      </c>
      <c r="C261" s="21" t="s">
        <v>52</v>
      </c>
      <c r="D261" s="22">
        <v>45305</v>
      </c>
      <c r="E261" s="21">
        <v>79.989999999999995</v>
      </c>
      <c r="F261" s="21">
        <v>2</v>
      </c>
      <c r="G261" s="21" t="s">
        <v>151</v>
      </c>
      <c r="H261" s="21">
        <v>175.97800000000001</v>
      </c>
    </row>
    <row r="262" spans="1:8">
      <c r="A262" s="21" t="s">
        <v>53</v>
      </c>
      <c r="B262" s="22">
        <v>45302</v>
      </c>
      <c r="C262" s="21" t="s">
        <v>54</v>
      </c>
      <c r="D262" s="22">
        <v>45306</v>
      </c>
      <c r="E262" s="21">
        <v>49.99</v>
      </c>
      <c r="F262" s="21">
        <v>3</v>
      </c>
      <c r="G262" s="21" t="s">
        <v>157</v>
      </c>
      <c r="H262" s="21">
        <v>164.96700000000001</v>
      </c>
    </row>
    <row r="263" spans="1:8">
      <c r="A263" s="21" t="s">
        <v>55</v>
      </c>
      <c r="B263" s="22">
        <v>45303</v>
      </c>
      <c r="C263" s="21" t="s">
        <v>56</v>
      </c>
      <c r="D263" s="22">
        <v>45308</v>
      </c>
      <c r="E263" s="21">
        <v>129.99</v>
      </c>
      <c r="F263" s="21">
        <v>1</v>
      </c>
      <c r="G263" s="21" t="s">
        <v>158</v>
      </c>
      <c r="H263" s="21">
        <v>142.989</v>
      </c>
    </row>
    <row r="264" spans="1:8">
      <c r="A264" s="21" t="s">
        <v>57</v>
      </c>
      <c r="B264" s="22">
        <v>45303</v>
      </c>
      <c r="C264" s="21" t="s">
        <v>58</v>
      </c>
      <c r="D264" s="22">
        <v>45308</v>
      </c>
      <c r="E264" s="21">
        <v>19.989999999999998</v>
      </c>
      <c r="F264" s="21">
        <v>4</v>
      </c>
      <c r="G264" s="21" t="s">
        <v>149</v>
      </c>
      <c r="H264" s="21">
        <v>87.956000000000003</v>
      </c>
    </row>
    <row r="265" spans="1:8">
      <c r="A265" s="21" t="s">
        <v>59</v>
      </c>
      <c r="B265" s="22">
        <v>45304</v>
      </c>
      <c r="C265" s="21" t="s">
        <v>20</v>
      </c>
      <c r="D265" s="22">
        <v>45308</v>
      </c>
      <c r="E265" s="21">
        <v>149.99</v>
      </c>
      <c r="F265" s="21">
        <v>1</v>
      </c>
      <c r="G265" s="21" t="s">
        <v>150</v>
      </c>
      <c r="H265" s="21">
        <v>164.989</v>
      </c>
    </row>
    <row r="266" spans="1:8">
      <c r="A266" s="21" t="s">
        <v>60</v>
      </c>
      <c r="B266" s="22">
        <v>45304</v>
      </c>
      <c r="C266" s="21" t="s">
        <v>61</v>
      </c>
      <c r="D266" s="22">
        <v>45305</v>
      </c>
      <c r="E266" s="21">
        <v>69.989999999999995</v>
      </c>
      <c r="F266" s="21">
        <v>2</v>
      </c>
      <c r="G266" s="21" t="s">
        <v>153</v>
      </c>
      <c r="H266" s="21">
        <v>153.97800000000001</v>
      </c>
    </row>
    <row r="267" spans="1:8">
      <c r="A267" s="21" t="s">
        <v>62</v>
      </c>
      <c r="B267" s="22">
        <v>45305</v>
      </c>
      <c r="C267" s="21" t="s">
        <v>63</v>
      </c>
      <c r="D267" s="22">
        <v>45309</v>
      </c>
      <c r="E267" s="21">
        <v>39.99</v>
      </c>
      <c r="F267" s="21">
        <v>3</v>
      </c>
      <c r="G267" s="21" t="s">
        <v>152</v>
      </c>
      <c r="H267" s="21">
        <v>131.96700000000001</v>
      </c>
    </row>
    <row r="268" spans="1:8">
      <c r="A268" s="21" t="s">
        <v>64</v>
      </c>
      <c r="B268" s="22">
        <v>45305</v>
      </c>
      <c r="C268" s="21" t="s">
        <v>65</v>
      </c>
      <c r="D268" s="22">
        <v>45310</v>
      </c>
      <c r="E268" s="21">
        <v>199.99</v>
      </c>
      <c r="F268" s="21">
        <v>1</v>
      </c>
      <c r="G268" s="21" t="s">
        <v>155</v>
      </c>
      <c r="H268" s="21">
        <v>219.989</v>
      </c>
    </row>
    <row r="269" spans="1:8">
      <c r="A269" s="21" t="s">
        <v>66</v>
      </c>
      <c r="B269" s="22">
        <v>45306</v>
      </c>
      <c r="C269" s="21" t="s">
        <v>67</v>
      </c>
      <c r="D269" s="22">
        <v>45310</v>
      </c>
      <c r="E269" s="21">
        <v>29.99</v>
      </c>
      <c r="F269" s="21">
        <v>5</v>
      </c>
      <c r="G269" s="21" t="s">
        <v>156</v>
      </c>
      <c r="H269" s="21">
        <v>164.94499999999999</v>
      </c>
    </row>
    <row r="270" spans="1:8">
      <c r="A270" s="21" t="s">
        <v>68</v>
      </c>
      <c r="B270" s="22">
        <v>45306</v>
      </c>
      <c r="C270" s="21" t="s">
        <v>69</v>
      </c>
      <c r="D270" s="22">
        <v>45310</v>
      </c>
      <c r="E270" s="21">
        <v>79.989999999999995</v>
      </c>
      <c r="F270" s="21">
        <v>2</v>
      </c>
      <c r="G270" s="21" t="s">
        <v>151</v>
      </c>
      <c r="H270" s="21">
        <v>175.97800000000001</v>
      </c>
    </row>
    <row r="271" spans="1:8">
      <c r="A271" s="21" t="s">
        <v>70</v>
      </c>
      <c r="B271" s="22">
        <v>45307</v>
      </c>
      <c r="C271" s="21" t="s">
        <v>71</v>
      </c>
      <c r="D271" s="22">
        <v>45310</v>
      </c>
      <c r="E271" s="21">
        <v>49.99</v>
      </c>
      <c r="F271" s="21">
        <v>3</v>
      </c>
      <c r="G271" s="21" t="s">
        <v>157</v>
      </c>
      <c r="H271" s="21">
        <v>164.96700000000001</v>
      </c>
    </row>
    <row r="272" spans="1:8">
      <c r="A272" s="21" t="s">
        <v>72</v>
      </c>
      <c r="B272" s="22">
        <v>45307</v>
      </c>
      <c r="C272" s="21" t="s">
        <v>73</v>
      </c>
      <c r="D272" s="22">
        <v>45308</v>
      </c>
      <c r="E272" s="21">
        <v>129.99</v>
      </c>
      <c r="F272" s="21">
        <v>1</v>
      </c>
      <c r="G272" s="21" t="s">
        <v>158</v>
      </c>
      <c r="H272" s="21">
        <v>142.989</v>
      </c>
    </row>
    <row r="273" spans="1:8">
      <c r="A273" s="21" t="s">
        <v>74</v>
      </c>
      <c r="B273" s="22">
        <v>45308</v>
      </c>
      <c r="C273" s="21" t="s">
        <v>75</v>
      </c>
      <c r="D273" s="22">
        <v>45310</v>
      </c>
      <c r="E273" s="21">
        <v>19.989999999999998</v>
      </c>
      <c r="F273" s="21">
        <v>4</v>
      </c>
      <c r="G273" s="21" t="s">
        <v>149</v>
      </c>
      <c r="H273" s="21">
        <v>87.956000000000003</v>
      </c>
    </row>
    <row r="274" spans="1:8">
      <c r="A274" s="21" t="s">
        <v>76</v>
      </c>
      <c r="B274" s="22">
        <v>45308</v>
      </c>
      <c r="C274" s="21" t="s">
        <v>77</v>
      </c>
      <c r="D274" s="22">
        <v>45310</v>
      </c>
      <c r="E274" s="21">
        <v>149.99</v>
      </c>
      <c r="F274" s="21">
        <v>1</v>
      </c>
      <c r="G274" s="21" t="s">
        <v>150</v>
      </c>
      <c r="H274" s="21">
        <v>164.989</v>
      </c>
    </row>
    <row r="275" spans="1:8">
      <c r="A275" s="21" t="s">
        <v>78</v>
      </c>
      <c r="B275" s="22">
        <v>45309</v>
      </c>
      <c r="C275" s="21" t="s">
        <v>79</v>
      </c>
      <c r="D275" s="22">
        <v>45314</v>
      </c>
      <c r="E275" s="21">
        <v>69.989999999999995</v>
      </c>
      <c r="F275" s="21">
        <v>2</v>
      </c>
      <c r="G275" s="21" t="s">
        <v>153</v>
      </c>
      <c r="H275" s="21">
        <v>153.97800000000001</v>
      </c>
    </row>
    <row r="276" spans="1:8">
      <c r="A276" s="21" t="s">
        <v>80</v>
      </c>
      <c r="B276" s="22">
        <v>45309</v>
      </c>
      <c r="C276" s="21" t="s">
        <v>81</v>
      </c>
      <c r="D276" s="22">
        <v>45310</v>
      </c>
      <c r="E276" s="21">
        <v>39.99</v>
      </c>
      <c r="F276" s="21">
        <v>3</v>
      </c>
      <c r="G276" s="21" t="s">
        <v>152</v>
      </c>
      <c r="H276" s="21">
        <v>131.96700000000001</v>
      </c>
    </row>
    <row r="277" spans="1:8">
      <c r="A277" s="21" t="s">
        <v>82</v>
      </c>
      <c r="B277" s="22">
        <v>45310</v>
      </c>
      <c r="C277" s="21" t="s">
        <v>83</v>
      </c>
      <c r="D277" s="22">
        <v>45311</v>
      </c>
      <c r="E277" s="21">
        <v>199.99</v>
      </c>
      <c r="F277" s="21">
        <v>1</v>
      </c>
      <c r="G277" s="21" t="s">
        <v>155</v>
      </c>
      <c r="H277" s="21">
        <v>219.989</v>
      </c>
    </row>
    <row r="278" spans="1:8">
      <c r="A278" s="21" t="s">
        <v>84</v>
      </c>
      <c r="B278" s="22">
        <v>45310</v>
      </c>
      <c r="C278" s="21" t="s">
        <v>85</v>
      </c>
      <c r="D278" s="22">
        <v>45313</v>
      </c>
      <c r="E278" s="21">
        <v>29.99</v>
      </c>
      <c r="F278" s="21">
        <v>5</v>
      </c>
      <c r="G278" s="21" t="s">
        <v>156</v>
      </c>
      <c r="H278" s="21">
        <v>164.94499999999999</v>
      </c>
    </row>
    <row r="279" spans="1:8">
      <c r="A279" s="21" t="s">
        <v>86</v>
      </c>
      <c r="B279" s="22">
        <v>45311</v>
      </c>
      <c r="C279" s="21" t="s">
        <v>16</v>
      </c>
      <c r="D279" s="22">
        <v>45315</v>
      </c>
      <c r="E279" s="21">
        <v>79.989999999999995</v>
      </c>
      <c r="F279" s="21">
        <v>2</v>
      </c>
      <c r="G279" s="21" t="s">
        <v>151</v>
      </c>
      <c r="H279" s="21">
        <v>175.97800000000001</v>
      </c>
    </row>
    <row r="280" spans="1:8">
      <c r="A280" s="21" t="s">
        <v>87</v>
      </c>
      <c r="B280" s="22">
        <v>45311</v>
      </c>
      <c r="C280" s="21" t="s">
        <v>58</v>
      </c>
      <c r="D280" s="22">
        <v>45312</v>
      </c>
      <c r="E280" s="21">
        <v>49.99</v>
      </c>
      <c r="F280" s="21">
        <v>3</v>
      </c>
      <c r="G280" s="21" t="s">
        <v>157</v>
      </c>
      <c r="H280" s="21">
        <v>164.96700000000001</v>
      </c>
    </row>
    <row r="281" spans="1:8">
      <c r="A281" s="21" t="s">
        <v>88</v>
      </c>
      <c r="B281" s="22">
        <v>45312</v>
      </c>
      <c r="C281" s="21" t="s">
        <v>20</v>
      </c>
      <c r="D281" s="22">
        <v>45317</v>
      </c>
      <c r="E281" s="21">
        <v>129.99</v>
      </c>
      <c r="F281" s="21">
        <v>1</v>
      </c>
      <c r="G281" s="21" t="s">
        <v>158</v>
      </c>
      <c r="H281" s="21">
        <v>142.989</v>
      </c>
    </row>
    <row r="282" spans="1:8">
      <c r="A282" s="21" t="s">
        <v>89</v>
      </c>
      <c r="B282" s="22">
        <v>45312</v>
      </c>
      <c r="C282" s="21" t="s">
        <v>90</v>
      </c>
      <c r="D282" s="22">
        <v>45314</v>
      </c>
      <c r="E282" s="21">
        <v>19.989999999999998</v>
      </c>
      <c r="F282" s="21">
        <v>4</v>
      </c>
      <c r="G282" s="21" t="s">
        <v>149</v>
      </c>
      <c r="H282" s="21">
        <v>87.956000000000003</v>
      </c>
    </row>
    <row r="283" spans="1:8">
      <c r="A283" s="21" t="s">
        <v>91</v>
      </c>
      <c r="B283" s="22">
        <v>45313</v>
      </c>
      <c r="C283" s="21" t="s">
        <v>92</v>
      </c>
      <c r="D283" s="22">
        <v>45316</v>
      </c>
      <c r="E283" s="21">
        <v>149.99</v>
      </c>
      <c r="F283" s="21">
        <v>1</v>
      </c>
      <c r="G283" s="21" t="s">
        <v>150</v>
      </c>
      <c r="H283" s="21">
        <v>164.989</v>
      </c>
    </row>
    <row r="284" spans="1:8">
      <c r="A284" s="21" t="s">
        <v>93</v>
      </c>
      <c r="B284" s="22">
        <v>45313</v>
      </c>
      <c r="C284" s="21" t="s">
        <v>18</v>
      </c>
      <c r="D284" s="22">
        <v>45316</v>
      </c>
      <c r="E284" s="21">
        <v>69.989999999999995</v>
      </c>
      <c r="F284" s="21">
        <v>2</v>
      </c>
      <c r="G284" s="21" t="s">
        <v>153</v>
      </c>
      <c r="H284" s="21">
        <v>153.97800000000001</v>
      </c>
    </row>
    <row r="285" spans="1:8">
      <c r="A285" s="21" t="s">
        <v>94</v>
      </c>
      <c r="B285" s="22">
        <v>45314</v>
      </c>
      <c r="C285" s="21" t="s">
        <v>95</v>
      </c>
      <c r="D285" s="22">
        <v>45318</v>
      </c>
      <c r="E285" s="21">
        <v>39.99</v>
      </c>
      <c r="F285" s="21">
        <v>3</v>
      </c>
      <c r="G285" s="21" t="s">
        <v>152</v>
      </c>
      <c r="H285" s="21">
        <v>131.96700000000001</v>
      </c>
    </row>
    <row r="286" spans="1:8">
      <c r="A286" s="21" t="s">
        <v>96</v>
      </c>
      <c r="B286" s="22">
        <v>45314</v>
      </c>
      <c r="C286" s="21" t="s">
        <v>50</v>
      </c>
      <c r="D286" s="22">
        <v>45317</v>
      </c>
      <c r="E286" s="21">
        <v>199.99</v>
      </c>
      <c r="F286" s="21">
        <v>1</v>
      </c>
      <c r="G286" s="21" t="s">
        <v>155</v>
      </c>
      <c r="H286" s="21">
        <v>219.989</v>
      </c>
    </row>
    <row r="287" spans="1:8">
      <c r="A287" s="21" t="s">
        <v>97</v>
      </c>
      <c r="B287" s="22">
        <v>45315</v>
      </c>
      <c r="C287" s="21" t="s">
        <v>98</v>
      </c>
      <c r="D287" s="22">
        <v>45316</v>
      </c>
      <c r="E287" s="21">
        <v>29.99</v>
      </c>
      <c r="F287" s="21">
        <v>5</v>
      </c>
      <c r="G287" s="21" t="s">
        <v>156</v>
      </c>
      <c r="H287" s="21">
        <v>164.94499999999999</v>
      </c>
    </row>
    <row r="288" spans="1:8">
      <c r="A288" s="21" t="s">
        <v>99</v>
      </c>
      <c r="B288" s="22">
        <v>45315</v>
      </c>
      <c r="C288" s="21" t="s">
        <v>100</v>
      </c>
      <c r="D288" s="22">
        <v>45317</v>
      </c>
      <c r="E288" s="21">
        <v>79.989999999999995</v>
      </c>
      <c r="F288" s="21">
        <v>2</v>
      </c>
      <c r="G288" s="21" t="s">
        <v>151</v>
      </c>
      <c r="H288" s="21">
        <v>175.97800000000001</v>
      </c>
    </row>
    <row r="289" spans="1:8">
      <c r="A289" s="21" t="s">
        <v>101</v>
      </c>
      <c r="B289" s="22">
        <v>45316</v>
      </c>
      <c r="C289" s="21" t="s">
        <v>102</v>
      </c>
      <c r="D289" s="22">
        <v>45321</v>
      </c>
      <c r="E289" s="21">
        <v>49.99</v>
      </c>
      <c r="F289" s="21">
        <v>3</v>
      </c>
      <c r="G289" s="21" t="s">
        <v>157</v>
      </c>
      <c r="H289" s="21">
        <v>164.96700000000001</v>
      </c>
    </row>
    <row r="290" spans="1:8">
      <c r="A290" s="21" t="s">
        <v>103</v>
      </c>
      <c r="B290" s="22">
        <v>45316</v>
      </c>
      <c r="C290" s="21" t="s">
        <v>104</v>
      </c>
      <c r="D290" s="22">
        <v>45318</v>
      </c>
      <c r="E290" s="21">
        <v>129.99</v>
      </c>
      <c r="F290" s="21">
        <v>1</v>
      </c>
      <c r="G290" s="21" t="s">
        <v>158</v>
      </c>
      <c r="H290" s="21">
        <v>142.989</v>
      </c>
    </row>
    <row r="291" spans="1:8">
      <c r="A291" s="21" t="s">
        <v>105</v>
      </c>
      <c r="B291" s="22">
        <v>45317</v>
      </c>
      <c r="C291" s="21" t="s">
        <v>106</v>
      </c>
      <c r="D291" s="22">
        <v>45320</v>
      </c>
      <c r="E291" s="21">
        <v>19.989999999999998</v>
      </c>
      <c r="F291" s="21">
        <v>4</v>
      </c>
      <c r="G291" s="21" t="s">
        <v>149</v>
      </c>
      <c r="H291" s="21">
        <v>87.956000000000003</v>
      </c>
    </row>
    <row r="292" spans="1:8">
      <c r="A292" s="21" t="s">
        <v>107</v>
      </c>
      <c r="B292" s="22">
        <v>45317</v>
      </c>
      <c r="C292" s="21" t="s">
        <v>108</v>
      </c>
      <c r="D292" s="22">
        <v>45319</v>
      </c>
      <c r="E292" s="21">
        <v>149.99</v>
      </c>
      <c r="F292" s="21">
        <v>1</v>
      </c>
      <c r="G292" s="21" t="s">
        <v>150</v>
      </c>
      <c r="H292" s="21">
        <v>164.989</v>
      </c>
    </row>
    <row r="293" spans="1:8">
      <c r="A293" s="21" t="s">
        <v>109</v>
      </c>
      <c r="B293" s="22">
        <v>45318</v>
      </c>
      <c r="C293" s="21" t="s">
        <v>110</v>
      </c>
      <c r="D293" s="22">
        <v>45322</v>
      </c>
      <c r="E293" s="21">
        <v>69.989999999999995</v>
      </c>
      <c r="F293" s="21">
        <v>2</v>
      </c>
      <c r="G293" s="21" t="s">
        <v>153</v>
      </c>
      <c r="H293" s="21">
        <v>153.97800000000001</v>
      </c>
    </row>
    <row r="294" spans="1:8">
      <c r="A294" s="21" t="s">
        <v>111</v>
      </c>
      <c r="B294" s="22">
        <v>45318</v>
      </c>
      <c r="C294" s="21" t="s">
        <v>112</v>
      </c>
      <c r="D294" s="22">
        <v>45322</v>
      </c>
      <c r="E294" s="21">
        <v>39.99</v>
      </c>
      <c r="F294" s="21">
        <v>3</v>
      </c>
      <c r="G294" s="21" t="s">
        <v>152</v>
      </c>
      <c r="H294" s="21">
        <v>131.96700000000001</v>
      </c>
    </row>
    <row r="295" spans="1:8">
      <c r="A295" s="21" t="s">
        <v>113</v>
      </c>
      <c r="B295" s="22">
        <v>45319</v>
      </c>
      <c r="C295" s="21" t="s">
        <v>114</v>
      </c>
      <c r="D295" s="22">
        <v>45320</v>
      </c>
      <c r="E295" s="21">
        <v>199.99</v>
      </c>
      <c r="F295" s="21">
        <v>1</v>
      </c>
      <c r="G295" s="21" t="s">
        <v>155</v>
      </c>
      <c r="H295" s="21">
        <v>219.989</v>
      </c>
    </row>
    <row r="296" spans="1:8">
      <c r="A296" s="21" t="s">
        <v>115</v>
      </c>
      <c r="B296" s="22">
        <v>45319</v>
      </c>
      <c r="C296" s="21" t="s">
        <v>116</v>
      </c>
      <c r="D296" s="22">
        <v>45320</v>
      </c>
      <c r="E296" s="21">
        <v>29.99</v>
      </c>
      <c r="F296" s="21">
        <v>5</v>
      </c>
      <c r="G296" s="21" t="s">
        <v>156</v>
      </c>
      <c r="H296" s="21">
        <v>164.94499999999999</v>
      </c>
    </row>
    <row r="297" spans="1:8">
      <c r="A297" s="21" t="s">
        <v>117</v>
      </c>
      <c r="B297" s="22">
        <v>45320</v>
      </c>
      <c r="C297" s="21" t="s">
        <v>118</v>
      </c>
      <c r="D297" s="22">
        <v>45321</v>
      </c>
      <c r="E297" s="21">
        <v>79.989999999999995</v>
      </c>
      <c r="F297" s="21">
        <v>2</v>
      </c>
      <c r="G297" s="21" t="s">
        <v>151</v>
      </c>
      <c r="H297" s="21">
        <v>175.97800000000001</v>
      </c>
    </row>
    <row r="298" spans="1:8">
      <c r="A298" s="21" t="s">
        <v>119</v>
      </c>
      <c r="B298" s="22">
        <v>45320</v>
      </c>
      <c r="C298" s="21" t="s">
        <v>90</v>
      </c>
      <c r="D298" s="22">
        <v>45322</v>
      </c>
      <c r="E298" s="21">
        <v>49.99</v>
      </c>
      <c r="F298" s="21">
        <v>3</v>
      </c>
      <c r="G298" s="21" t="s">
        <v>157</v>
      </c>
      <c r="H298" s="21">
        <v>164.96700000000001</v>
      </c>
    </row>
    <row r="299" spans="1:8">
      <c r="A299" s="21" t="s">
        <v>120</v>
      </c>
      <c r="B299" s="22">
        <v>45321</v>
      </c>
      <c r="C299" s="21" t="s">
        <v>92</v>
      </c>
      <c r="D299" s="22">
        <v>45322</v>
      </c>
      <c r="E299" s="21">
        <v>129.99</v>
      </c>
      <c r="F299" s="21">
        <v>1</v>
      </c>
      <c r="G299" s="21" t="s">
        <v>158</v>
      </c>
      <c r="H299" s="21">
        <v>142.989</v>
      </c>
    </row>
    <row r="300" spans="1:8">
      <c r="A300" s="21" t="s">
        <v>121</v>
      </c>
      <c r="B300" s="22">
        <v>45321</v>
      </c>
      <c r="C300" s="21" t="s">
        <v>18</v>
      </c>
      <c r="D300" s="22">
        <v>45323</v>
      </c>
      <c r="E300" s="21">
        <v>19.989999999999998</v>
      </c>
      <c r="F300" s="21">
        <v>4</v>
      </c>
      <c r="G300" s="21" t="s">
        <v>149</v>
      </c>
      <c r="H300" s="21">
        <v>87.956000000000003</v>
      </c>
    </row>
    <row r="301" spans="1:8">
      <c r="A301" s="21" t="s">
        <v>122</v>
      </c>
      <c r="B301" s="22">
        <v>45322</v>
      </c>
      <c r="C301" s="21" t="s">
        <v>95</v>
      </c>
      <c r="D301" s="22">
        <v>45324</v>
      </c>
      <c r="E301" s="21">
        <v>149.99</v>
      </c>
      <c r="F301" s="21">
        <v>1</v>
      </c>
      <c r="G301" s="21" t="s">
        <v>150</v>
      </c>
      <c r="H301" s="21">
        <v>164.989</v>
      </c>
    </row>
    <row r="302" spans="1:8">
      <c r="A302" s="21" t="s">
        <v>123</v>
      </c>
      <c r="B302" s="22">
        <v>45322</v>
      </c>
      <c r="C302" s="21" t="s">
        <v>50</v>
      </c>
      <c r="D302" s="22">
        <v>45326</v>
      </c>
      <c r="E302" s="21">
        <v>69.989999999999995</v>
      </c>
      <c r="F302" s="21">
        <v>2</v>
      </c>
      <c r="G302" s="21" t="s">
        <v>153</v>
      </c>
      <c r="H302" s="21">
        <v>153.97800000000001</v>
      </c>
    </row>
    <row r="303" spans="1:8">
      <c r="A303" s="21" t="s">
        <v>124</v>
      </c>
      <c r="B303" s="22">
        <v>45323</v>
      </c>
      <c r="C303" s="21" t="s">
        <v>98</v>
      </c>
      <c r="D303" s="22">
        <v>45324</v>
      </c>
      <c r="E303" s="21">
        <v>39.99</v>
      </c>
      <c r="F303" s="21">
        <v>3</v>
      </c>
      <c r="G303" s="21" t="s">
        <v>152</v>
      </c>
      <c r="H303" s="21">
        <v>131.96700000000001</v>
      </c>
    </row>
    <row r="304" spans="1:8">
      <c r="A304" s="21" t="s">
        <v>125</v>
      </c>
      <c r="B304" s="22">
        <v>45323</v>
      </c>
      <c r="C304" s="21" t="s">
        <v>100</v>
      </c>
      <c r="D304" s="22">
        <v>45327</v>
      </c>
      <c r="E304" s="21">
        <v>199.99</v>
      </c>
      <c r="F304" s="21">
        <v>1</v>
      </c>
      <c r="G304" s="21" t="s">
        <v>155</v>
      </c>
      <c r="H304" s="21">
        <v>219.989</v>
      </c>
    </row>
    <row r="305" spans="1:8">
      <c r="A305" s="21" t="s">
        <v>126</v>
      </c>
      <c r="B305" s="22">
        <v>45323</v>
      </c>
      <c r="C305" s="21" t="s">
        <v>102</v>
      </c>
      <c r="D305" s="22">
        <v>45325</v>
      </c>
      <c r="E305" s="21">
        <v>29.99</v>
      </c>
      <c r="F305" s="21">
        <v>5</v>
      </c>
      <c r="G305" s="21" t="s">
        <v>156</v>
      </c>
      <c r="H305" s="21">
        <v>164.94499999999999</v>
      </c>
    </row>
    <row r="306" spans="1:8">
      <c r="A306" s="21" t="s">
        <v>127</v>
      </c>
      <c r="B306" s="22">
        <v>45324</v>
      </c>
      <c r="C306" s="21" t="s">
        <v>104</v>
      </c>
      <c r="D306" s="22">
        <v>45328</v>
      </c>
      <c r="E306" s="21">
        <v>79.989999999999995</v>
      </c>
      <c r="F306" s="21">
        <v>2</v>
      </c>
      <c r="G306" s="21" t="s">
        <v>151</v>
      </c>
      <c r="H306" s="21">
        <v>175.97800000000001</v>
      </c>
    </row>
    <row r="307" spans="1:8">
      <c r="A307" s="21" t="s">
        <v>128</v>
      </c>
      <c r="B307" s="22">
        <v>45325</v>
      </c>
      <c r="C307" s="21" t="s">
        <v>106</v>
      </c>
      <c r="D307" s="22">
        <v>45328</v>
      </c>
      <c r="E307" s="21">
        <v>49.99</v>
      </c>
      <c r="F307" s="21">
        <v>3</v>
      </c>
      <c r="G307" s="21" t="s">
        <v>157</v>
      </c>
      <c r="H307" s="21">
        <v>164.96700000000001</v>
      </c>
    </row>
    <row r="308" spans="1:8">
      <c r="A308" s="21" t="s">
        <v>129</v>
      </c>
      <c r="B308" s="22">
        <v>45326</v>
      </c>
      <c r="C308" s="21" t="s">
        <v>108</v>
      </c>
      <c r="D308" s="22">
        <v>45327</v>
      </c>
      <c r="E308" s="21">
        <v>129.99</v>
      </c>
      <c r="F308" s="21">
        <v>1</v>
      </c>
      <c r="G308" s="21" t="s">
        <v>158</v>
      </c>
      <c r="H308" s="21">
        <v>142.989</v>
      </c>
    </row>
    <row r="309" spans="1:8">
      <c r="A309" s="21" t="s">
        <v>130</v>
      </c>
      <c r="B309" s="22">
        <v>45326</v>
      </c>
      <c r="C309" s="21" t="s">
        <v>110</v>
      </c>
      <c r="D309" s="22">
        <v>45330</v>
      </c>
      <c r="E309" s="21">
        <v>19.989999999999998</v>
      </c>
      <c r="F309" s="21">
        <v>4</v>
      </c>
      <c r="G309" s="21" t="s">
        <v>149</v>
      </c>
      <c r="H309" s="21">
        <v>87.956000000000003</v>
      </c>
    </row>
    <row r="310" spans="1:8">
      <c r="A310" s="21" t="s">
        <v>131</v>
      </c>
      <c r="B310" s="22">
        <v>45326</v>
      </c>
      <c r="C310" s="21" t="s">
        <v>112</v>
      </c>
      <c r="D310" s="22">
        <v>45329</v>
      </c>
      <c r="E310" s="21">
        <v>149.99</v>
      </c>
      <c r="F310" s="21">
        <v>1</v>
      </c>
      <c r="G310" s="21" t="s">
        <v>150</v>
      </c>
      <c r="H310" s="21">
        <v>164.989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627"/>
  <sheetViews>
    <sheetView tabSelected="1" topLeftCell="A169" workbookViewId="0">
      <selection activeCell="I4" sqref="I4"/>
    </sheetView>
  </sheetViews>
  <sheetFormatPr defaultRowHeight="14.25"/>
  <cols>
    <col min="1" max="1" width="13.125" customWidth="1"/>
    <col min="2" max="2" width="17.5" customWidth="1"/>
    <col min="3" max="5" width="11.875" customWidth="1"/>
    <col min="6" max="6" width="5.875" customWidth="1"/>
    <col min="7" max="7" width="11.875" customWidth="1"/>
    <col min="8" max="8" width="5.875" customWidth="1"/>
    <col min="9" max="9" width="6.875" customWidth="1"/>
    <col min="10" max="10" width="11.875" customWidth="1"/>
    <col min="11" max="13" width="6.625" customWidth="1"/>
    <col min="14" max="14" width="6.875" customWidth="1"/>
    <col min="15" max="15" width="6.625" customWidth="1"/>
    <col min="16" max="16" width="11.875" customWidth="1"/>
    <col min="17" max="17" width="6.875" customWidth="1"/>
    <col min="18" max="21" width="6.625" customWidth="1"/>
    <col min="22" max="23" width="11.875" customWidth="1"/>
    <col min="24" max="24" width="6.625" customWidth="1"/>
    <col min="25" max="25" width="6.875" customWidth="1"/>
    <col min="26" max="26" width="11.875" customWidth="1"/>
    <col min="27" max="28" width="6.625" customWidth="1"/>
    <col min="29" max="29" width="6" customWidth="1"/>
    <col min="30" max="30" width="6.875" customWidth="1"/>
    <col min="31" max="32" width="5.875" customWidth="1"/>
    <col min="33" max="33" width="6.875" customWidth="1"/>
    <col min="34" max="34" width="5.875" customWidth="1"/>
    <col min="35" max="35" width="6.875" customWidth="1"/>
    <col min="36" max="36" width="5.875" customWidth="1"/>
    <col min="37" max="37" width="11.875" bestFit="1" customWidth="1"/>
  </cols>
  <sheetData>
    <row r="3" spans="1:7">
      <c r="A3" s="15" t="s">
        <v>137</v>
      </c>
      <c r="B3" s="15" t="s">
        <v>138</v>
      </c>
    </row>
    <row r="4" spans="1:7">
      <c r="A4" s="15" t="s">
        <v>132</v>
      </c>
      <c r="B4">
        <v>1</v>
      </c>
      <c r="C4">
        <v>2</v>
      </c>
      <c r="D4">
        <v>3</v>
      </c>
      <c r="E4">
        <v>4</v>
      </c>
      <c r="F4">
        <v>5</v>
      </c>
      <c r="G4" t="s">
        <v>133</v>
      </c>
    </row>
    <row r="5" spans="1:7">
      <c r="A5" s="16" t="s">
        <v>42</v>
      </c>
      <c r="B5" s="17">
        <v>164.989</v>
      </c>
      <c r="C5" s="17"/>
      <c r="D5" s="17"/>
      <c r="E5" s="17"/>
      <c r="F5" s="17"/>
      <c r="G5" s="17">
        <v>164.989</v>
      </c>
    </row>
    <row r="6" spans="1:7">
      <c r="A6" s="16" t="s">
        <v>54</v>
      </c>
      <c r="B6" s="17"/>
      <c r="C6" s="17"/>
      <c r="D6" s="17">
        <v>54.988999999999997</v>
      </c>
      <c r="E6" s="17"/>
      <c r="F6" s="17"/>
      <c r="G6" s="17">
        <v>54.988999999999997</v>
      </c>
    </row>
    <row r="7" spans="1:7">
      <c r="A7" s="16" t="s">
        <v>56</v>
      </c>
      <c r="B7" s="17">
        <v>142.989</v>
      </c>
      <c r="C7" s="17"/>
      <c r="D7" s="17"/>
      <c r="E7" s="17"/>
      <c r="F7" s="17"/>
      <c r="G7" s="17">
        <v>142.989</v>
      </c>
    </row>
    <row r="8" spans="1:7">
      <c r="A8" s="16" t="s">
        <v>28</v>
      </c>
      <c r="B8" s="17">
        <v>98.989000000000004</v>
      </c>
      <c r="C8" s="17"/>
      <c r="D8" s="17"/>
      <c r="E8" s="17"/>
      <c r="F8" s="17"/>
      <c r="G8" s="17">
        <v>98.989000000000004</v>
      </c>
    </row>
    <row r="9" spans="1:7">
      <c r="A9" s="16" t="s">
        <v>110</v>
      </c>
      <c r="B9" s="17"/>
      <c r="C9" s="17">
        <v>76.989000000000004</v>
      </c>
      <c r="D9" s="17"/>
      <c r="E9" s="17">
        <v>21.989000000000001</v>
      </c>
      <c r="F9" s="17"/>
      <c r="G9" s="17">
        <v>98.977999999999994</v>
      </c>
    </row>
    <row r="10" spans="1:7">
      <c r="A10" s="16" t="s">
        <v>83</v>
      </c>
      <c r="B10" s="17">
        <v>219.989</v>
      </c>
      <c r="C10" s="17"/>
      <c r="D10" s="17"/>
      <c r="E10" s="17"/>
      <c r="F10" s="17"/>
      <c r="G10" s="17">
        <v>219.989</v>
      </c>
    </row>
    <row r="11" spans="1:7">
      <c r="A11" s="16" t="s">
        <v>95</v>
      </c>
      <c r="B11" s="17">
        <v>164.989</v>
      </c>
      <c r="C11" s="17"/>
      <c r="D11" s="17">
        <v>43.988999999999997</v>
      </c>
      <c r="E11" s="17"/>
      <c r="F11" s="17"/>
      <c r="G11" s="17">
        <v>208.97800000000001</v>
      </c>
    </row>
    <row r="12" spans="1:7">
      <c r="A12" s="16" t="s">
        <v>24</v>
      </c>
      <c r="B12" s="17"/>
      <c r="C12" s="17"/>
      <c r="D12" s="17">
        <v>43.988999999999997</v>
      </c>
      <c r="E12" s="17"/>
      <c r="F12" s="17"/>
      <c r="G12" s="17">
        <v>43.988999999999997</v>
      </c>
    </row>
    <row r="13" spans="1:7">
      <c r="A13" s="16" t="s">
        <v>48</v>
      </c>
      <c r="B13" s="17">
        <v>219.989</v>
      </c>
      <c r="C13" s="17"/>
      <c r="D13" s="17"/>
      <c r="E13" s="17"/>
      <c r="F13" s="17"/>
      <c r="G13" s="17">
        <v>219.989</v>
      </c>
    </row>
    <row r="14" spans="1:7">
      <c r="A14" s="16" t="s">
        <v>67</v>
      </c>
      <c r="B14" s="17"/>
      <c r="C14" s="17"/>
      <c r="D14" s="17"/>
      <c r="E14" s="17"/>
      <c r="F14" s="17">
        <v>32.988999999999997</v>
      </c>
      <c r="G14" s="17">
        <v>32.988999999999997</v>
      </c>
    </row>
    <row r="15" spans="1:7">
      <c r="A15" s="16" t="s">
        <v>75</v>
      </c>
      <c r="B15" s="17"/>
      <c r="C15" s="17"/>
      <c r="D15" s="17"/>
      <c r="E15" s="17">
        <v>21.989000000000001</v>
      </c>
      <c r="F15" s="17"/>
      <c r="G15" s="17">
        <v>21.989000000000001</v>
      </c>
    </row>
    <row r="16" spans="1:7">
      <c r="A16" s="16" t="s">
        <v>118</v>
      </c>
      <c r="B16" s="17"/>
      <c r="C16" s="17">
        <v>87.989000000000004</v>
      </c>
      <c r="D16" s="17"/>
      <c r="E16" s="17"/>
      <c r="F16" s="17"/>
      <c r="G16" s="17">
        <v>87.989000000000004</v>
      </c>
    </row>
    <row r="17" spans="1:7">
      <c r="A17" s="16" t="s">
        <v>102</v>
      </c>
      <c r="B17" s="17"/>
      <c r="C17" s="17"/>
      <c r="D17" s="17">
        <v>54.988999999999997</v>
      </c>
      <c r="E17" s="17"/>
      <c r="F17" s="17">
        <v>32.988999999999997</v>
      </c>
      <c r="G17" s="17">
        <v>87.977999999999994</v>
      </c>
    </row>
    <row r="18" spans="1:7">
      <c r="A18" s="16" t="s">
        <v>20</v>
      </c>
      <c r="B18" s="17">
        <v>472.96699999999998</v>
      </c>
      <c r="C18" s="17"/>
      <c r="D18" s="17"/>
      <c r="E18" s="17"/>
      <c r="F18" s="17"/>
      <c r="G18" s="17">
        <v>472.96699999999998</v>
      </c>
    </row>
    <row r="19" spans="1:7">
      <c r="A19" s="16" t="s">
        <v>18</v>
      </c>
      <c r="B19" s="17"/>
      <c r="C19" s="17">
        <v>76.989000000000004</v>
      </c>
      <c r="D19" s="17"/>
      <c r="E19" s="17">
        <v>43.978000000000002</v>
      </c>
      <c r="F19" s="17"/>
      <c r="G19" s="17">
        <v>120.967</v>
      </c>
    </row>
    <row r="20" spans="1:7">
      <c r="A20" s="16" t="s">
        <v>65</v>
      </c>
      <c r="B20" s="17">
        <v>219.989</v>
      </c>
      <c r="C20" s="17"/>
      <c r="D20" s="17"/>
      <c r="E20" s="17"/>
      <c r="F20" s="17"/>
      <c r="G20" s="17">
        <v>219.989</v>
      </c>
    </row>
    <row r="21" spans="1:7">
      <c r="A21" s="16" t="s">
        <v>108</v>
      </c>
      <c r="B21" s="17">
        <v>307.97800000000001</v>
      </c>
      <c r="C21" s="17"/>
      <c r="D21" s="17"/>
      <c r="E21" s="17"/>
      <c r="F21" s="17"/>
      <c r="G21" s="17">
        <v>307.97800000000001</v>
      </c>
    </row>
    <row r="22" spans="1:7">
      <c r="A22" s="16" t="s">
        <v>81</v>
      </c>
      <c r="B22" s="17"/>
      <c r="C22" s="17"/>
      <c r="D22" s="17">
        <v>43.988999999999997</v>
      </c>
      <c r="E22" s="17"/>
      <c r="F22" s="17"/>
      <c r="G22" s="17">
        <v>43.988999999999997</v>
      </c>
    </row>
    <row r="23" spans="1:7">
      <c r="A23" s="16" t="s">
        <v>44</v>
      </c>
      <c r="B23" s="17"/>
      <c r="C23" s="17">
        <v>76.989000000000004</v>
      </c>
      <c r="D23" s="17"/>
      <c r="E23" s="17"/>
      <c r="F23" s="17"/>
      <c r="G23" s="17">
        <v>76.989000000000004</v>
      </c>
    </row>
    <row r="24" spans="1:7">
      <c r="A24" s="16" t="s">
        <v>14</v>
      </c>
      <c r="B24" s="17">
        <v>32.988999999999997</v>
      </c>
      <c r="C24" s="17"/>
      <c r="D24" s="17"/>
      <c r="E24" s="17"/>
      <c r="F24" s="17"/>
      <c r="G24" s="17">
        <v>32.988999999999997</v>
      </c>
    </row>
    <row r="25" spans="1:7">
      <c r="A25" s="16" t="s">
        <v>50</v>
      </c>
      <c r="B25" s="17">
        <v>219.989</v>
      </c>
      <c r="C25" s="17">
        <v>76.989000000000004</v>
      </c>
      <c r="D25" s="17"/>
      <c r="E25" s="17"/>
      <c r="F25" s="17">
        <v>32.988999999999997</v>
      </c>
      <c r="G25" s="17">
        <v>329.96699999999998</v>
      </c>
    </row>
    <row r="26" spans="1:7">
      <c r="A26" s="16" t="s">
        <v>112</v>
      </c>
      <c r="B26" s="17">
        <v>164.989</v>
      </c>
      <c r="C26" s="17"/>
      <c r="D26" s="17">
        <v>43.988999999999997</v>
      </c>
      <c r="E26" s="17"/>
      <c r="F26" s="17"/>
      <c r="G26" s="17">
        <v>208.97800000000001</v>
      </c>
    </row>
    <row r="27" spans="1:7">
      <c r="A27" s="16" t="s">
        <v>69</v>
      </c>
      <c r="B27" s="17"/>
      <c r="C27" s="17">
        <v>87.989000000000004</v>
      </c>
      <c r="D27" s="17"/>
      <c r="E27" s="17"/>
      <c r="F27" s="17"/>
      <c r="G27" s="17">
        <v>87.989000000000004</v>
      </c>
    </row>
    <row r="28" spans="1:7">
      <c r="A28" s="16" t="s">
        <v>85</v>
      </c>
      <c r="B28" s="17"/>
      <c r="C28" s="17"/>
      <c r="D28" s="17"/>
      <c r="E28" s="17"/>
      <c r="F28" s="17">
        <v>32.988999999999997</v>
      </c>
      <c r="G28" s="17">
        <v>32.988999999999997</v>
      </c>
    </row>
    <row r="29" spans="1:7">
      <c r="A29" s="16" t="s">
        <v>38</v>
      </c>
      <c r="B29" s="17">
        <v>142.989</v>
      </c>
      <c r="C29" s="17"/>
      <c r="D29" s="17"/>
      <c r="E29" s="17"/>
      <c r="F29" s="17"/>
      <c r="G29" s="17">
        <v>142.989</v>
      </c>
    </row>
    <row r="30" spans="1:7">
      <c r="A30" s="16" t="s">
        <v>73</v>
      </c>
      <c r="B30" s="17">
        <v>142.989</v>
      </c>
      <c r="C30" s="17"/>
      <c r="D30" s="17"/>
      <c r="E30" s="17"/>
      <c r="F30" s="17"/>
      <c r="G30" s="17">
        <v>142.989</v>
      </c>
    </row>
    <row r="31" spans="1:7">
      <c r="A31" s="16" t="s">
        <v>58</v>
      </c>
      <c r="B31" s="17"/>
      <c r="C31" s="17"/>
      <c r="D31" s="17">
        <v>54.988999999999997</v>
      </c>
      <c r="E31" s="17">
        <v>21.989000000000001</v>
      </c>
      <c r="F31" s="17"/>
      <c r="G31" s="17">
        <v>76.977999999999994</v>
      </c>
    </row>
    <row r="32" spans="1:7">
      <c r="A32" s="16" t="s">
        <v>116</v>
      </c>
      <c r="B32" s="17"/>
      <c r="C32" s="17"/>
      <c r="D32" s="17"/>
      <c r="E32" s="17"/>
      <c r="F32" s="17">
        <v>32.988999999999997</v>
      </c>
      <c r="G32" s="17">
        <v>32.988999999999997</v>
      </c>
    </row>
    <row r="33" spans="1:7">
      <c r="A33" s="16" t="s">
        <v>100</v>
      </c>
      <c r="B33" s="17">
        <v>219.989</v>
      </c>
      <c r="C33" s="17">
        <v>87.989000000000004</v>
      </c>
      <c r="D33" s="17"/>
      <c r="E33" s="17"/>
      <c r="F33" s="17"/>
      <c r="G33" s="17">
        <v>307.97800000000001</v>
      </c>
    </row>
    <row r="34" spans="1:7">
      <c r="A34" s="16" t="s">
        <v>12</v>
      </c>
      <c r="B34" s="17"/>
      <c r="C34" s="17">
        <v>54.988999999999997</v>
      </c>
      <c r="D34" s="17"/>
      <c r="E34" s="17"/>
      <c r="F34" s="17"/>
      <c r="G34" s="17">
        <v>54.988999999999997</v>
      </c>
    </row>
    <row r="35" spans="1:7">
      <c r="A35" s="16" t="s">
        <v>30</v>
      </c>
      <c r="B35" s="17">
        <v>219.989</v>
      </c>
      <c r="C35" s="17"/>
      <c r="D35" s="17"/>
      <c r="E35" s="17"/>
      <c r="F35" s="17"/>
      <c r="G35" s="17">
        <v>219.989</v>
      </c>
    </row>
    <row r="36" spans="1:7">
      <c r="A36" s="16" t="s">
        <v>46</v>
      </c>
      <c r="B36" s="17"/>
      <c r="C36" s="17"/>
      <c r="D36" s="17">
        <v>43.988999999999997</v>
      </c>
      <c r="E36" s="17"/>
      <c r="F36" s="17"/>
      <c r="G36" s="17">
        <v>43.988999999999997</v>
      </c>
    </row>
    <row r="37" spans="1:7">
      <c r="A37" s="16" t="s">
        <v>22</v>
      </c>
      <c r="B37" s="17"/>
      <c r="C37" s="17">
        <v>87.989000000000004</v>
      </c>
      <c r="D37" s="17"/>
      <c r="E37" s="17"/>
      <c r="F37" s="17"/>
      <c r="G37" s="17">
        <v>87.989000000000004</v>
      </c>
    </row>
    <row r="38" spans="1:7">
      <c r="A38" s="16" t="s">
        <v>92</v>
      </c>
      <c r="B38" s="17">
        <v>307.97800000000001</v>
      </c>
      <c r="C38" s="17"/>
      <c r="D38" s="17"/>
      <c r="E38" s="17"/>
      <c r="F38" s="17"/>
      <c r="G38" s="17">
        <v>307.97800000000001</v>
      </c>
    </row>
    <row r="39" spans="1:7">
      <c r="A39" s="16" t="s">
        <v>79</v>
      </c>
      <c r="B39" s="17"/>
      <c r="C39" s="17">
        <v>76.989000000000004</v>
      </c>
      <c r="D39" s="17"/>
      <c r="E39" s="17"/>
      <c r="F39" s="17"/>
      <c r="G39" s="17">
        <v>76.989000000000004</v>
      </c>
    </row>
    <row r="40" spans="1:7">
      <c r="A40" s="16" t="s">
        <v>63</v>
      </c>
      <c r="B40" s="17"/>
      <c r="C40" s="17"/>
      <c r="D40" s="17">
        <v>43.988999999999997</v>
      </c>
      <c r="E40" s="17"/>
      <c r="F40" s="17"/>
      <c r="G40" s="17">
        <v>43.988999999999997</v>
      </c>
    </row>
    <row r="41" spans="1:7">
      <c r="A41" s="16" t="s">
        <v>106</v>
      </c>
      <c r="B41" s="17"/>
      <c r="C41" s="17"/>
      <c r="D41" s="17">
        <v>54.988999999999997</v>
      </c>
      <c r="E41" s="17">
        <v>21.989000000000001</v>
      </c>
      <c r="F41" s="17"/>
      <c r="G41" s="17">
        <v>76.977999999999994</v>
      </c>
    </row>
    <row r="42" spans="1:7">
      <c r="A42" s="16" t="s">
        <v>40</v>
      </c>
      <c r="B42" s="17"/>
      <c r="C42" s="17"/>
      <c r="D42" s="17"/>
      <c r="E42" s="17">
        <v>21.989000000000001</v>
      </c>
      <c r="F42" s="17"/>
      <c r="G42" s="17">
        <v>21.989000000000001</v>
      </c>
    </row>
    <row r="43" spans="1:7">
      <c r="A43" s="16" t="s">
        <v>34</v>
      </c>
      <c r="B43" s="17"/>
      <c r="C43" s="17">
        <v>87.989000000000004</v>
      </c>
      <c r="D43" s="17"/>
      <c r="E43" s="17"/>
      <c r="F43" s="17"/>
      <c r="G43" s="17">
        <v>87.989000000000004</v>
      </c>
    </row>
    <row r="44" spans="1:7">
      <c r="A44" s="16" t="s">
        <v>114</v>
      </c>
      <c r="B44" s="17">
        <v>219.989</v>
      </c>
      <c r="C44" s="17"/>
      <c r="D44" s="17"/>
      <c r="E44" s="17"/>
      <c r="F44" s="17"/>
      <c r="G44" s="17">
        <v>219.989</v>
      </c>
    </row>
    <row r="45" spans="1:7">
      <c r="A45" s="16" t="s">
        <v>52</v>
      </c>
      <c r="B45" s="17"/>
      <c r="C45" s="17">
        <v>87.989000000000004</v>
      </c>
      <c r="D45" s="17"/>
      <c r="E45" s="17"/>
      <c r="F45" s="17"/>
      <c r="G45" s="17">
        <v>87.989000000000004</v>
      </c>
    </row>
    <row r="46" spans="1:7">
      <c r="A46" s="16" t="s">
        <v>16</v>
      </c>
      <c r="B46" s="17"/>
      <c r="C46" s="17">
        <v>87.989000000000004</v>
      </c>
      <c r="D46" s="17">
        <v>109.989</v>
      </c>
      <c r="E46" s="17"/>
      <c r="F46" s="17"/>
      <c r="G46" s="17">
        <v>197.97800000000001</v>
      </c>
    </row>
    <row r="47" spans="1:7">
      <c r="A47" s="16" t="s">
        <v>98</v>
      </c>
      <c r="B47" s="17"/>
      <c r="C47" s="17"/>
      <c r="D47" s="17">
        <v>43.988999999999997</v>
      </c>
      <c r="E47" s="17"/>
      <c r="F47" s="17">
        <v>32.988999999999997</v>
      </c>
      <c r="G47" s="17">
        <v>76.977999999999994</v>
      </c>
    </row>
    <row r="48" spans="1:7">
      <c r="A48" s="16" t="s">
        <v>71</v>
      </c>
      <c r="B48" s="17"/>
      <c r="C48" s="17"/>
      <c r="D48" s="17">
        <v>54.988999999999997</v>
      </c>
      <c r="E48" s="17"/>
      <c r="F48" s="17"/>
      <c r="G48" s="17">
        <v>54.988999999999997</v>
      </c>
    </row>
    <row r="49" spans="1:7">
      <c r="A49" s="16" t="s">
        <v>36</v>
      </c>
      <c r="B49" s="17"/>
      <c r="C49" s="17"/>
      <c r="D49" s="17">
        <v>54.988999999999997</v>
      </c>
      <c r="E49" s="17"/>
      <c r="F49" s="17"/>
      <c r="G49" s="17">
        <v>54.988999999999997</v>
      </c>
    </row>
    <row r="50" spans="1:7">
      <c r="A50" s="16" t="s">
        <v>26</v>
      </c>
      <c r="B50" s="17"/>
      <c r="C50" s="17">
        <v>76.989000000000004</v>
      </c>
      <c r="D50" s="17"/>
      <c r="E50" s="17"/>
      <c r="F50" s="17"/>
      <c r="G50" s="17">
        <v>76.989000000000004</v>
      </c>
    </row>
    <row r="51" spans="1:7">
      <c r="A51" s="16" t="s">
        <v>77</v>
      </c>
      <c r="B51" s="17">
        <v>164.989</v>
      </c>
      <c r="C51" s="17"/>
      <c r="D51" s="17"/>
      <c r="E51" s="17"/>
      <c r="F51" s="17"/>
      <c r="G51" s="17">
        <v>164.989</v>
      </c>
    </row>
    <row r="52" spans="1:7">
      <c r="A52" s="16" t="s">
        <v>104</v>
      </c>
      <c r="B52" s="17">
        <v>142.989</v>
      </c>
      <c r="C52" s="17">
        <v>87.989000000000004</v>
      </c>
      <c r="D52" s="17"/>
      <c r="E52" s="17"/>
      <c r="F52" s="17"/>
      <c r="G52" s="17">
        <v>230.97800000000001</v>
      </c>
    </row>
    <row r="53" spans="1:7">
      <c r="A53" s="16" t="s">
        <v>90</v>
      </c>
      <c r="B53" s="17"/>
      <c r="C53" s="17"/>
      <c r="D53" s="17">
        <v>54.988999999999997</v>
      </c>
      <c r="E53" s="17">
        <v>21.989000000000001</v>
      </c>
      <c r="F53" s="17"/>
      <c r="G53" s="17">
        <v>76.977999999999994</v>
      </c>
    </row>
    <row r="54" spans="1:7">
      <c r="A54" s="16" t="s">
        <v>61</v>
      </c>
      <c r="B54" s="17"/>
      <c r="C54" s="17">
        <v>76.989000000000004</v>
      </c>
      <c r="D54" s="17"/>
      <c r="E54" s="17"/>
      <c r="F54" s="17"/>
      <c r="G54" s="17">
        <v>76.989000000000004</v>
      </c>
    </row>
    <row r="55" spans="1:7">
      <c r="A55" s="16" t="s">
        <v>32</v>
      </c>
      <c r="B55" s="17"/>
      <c r="C55" s="17"/>
      <c r="D55" s="17"/>
      <c r="E55" s="17"/>
      <c r="F55" s="17">
        <v>32.988999999999997</v>
      </c>
      <c r="G55" s="17">
        <v>32.988999999999997</v>
      </c>
    </row>
    <row r="56" spans="1:7">
      <c r="A56" s="16" t="s">
        <v>133</v>
      </c>
      <c r="B56" s="17">
        <v>3992.7359999999999</v>
      </c>
      <c r="C56" s="17">
        <v>1297.8240000000001</v>
      </c>
      <c r="D56" s="17">
        <v>802.83500000000004</v>
      </c>
      <c r="E56" s="17">
        <v>175.91200000000001</v>
      </c>
      <c r="F56" s="17">
        <v>230.923</v>
      </c>
      <c r="G56" s="17">
        <v>6500.2299999999896</v>
      </c>
    </row>
    <row r="60" spans="1:7">
      <c r="A60" s="15" t="s">
        <v>132</v>
      </c>
      <c r="B60" t="s">
        <v>137</v>
      </c>
    </row>
    <row r="61" spans="1:7">
      <c r="A61" s="16" t="s">
        <v>134</v>
      </c>
      <c r="B61" s="17">
        <v>54.988999999999997</v>
      </c>
    </row>
    <row r="62" spans="1:7">
      <c r="A62" s="16" t="s">
        <v>133</v>
      </c>
      <c r="B62" s="17">
        <v>54.988999999999997</v>
      </c>
    </row>
    <row r="81" spans="1:2">
      <c r="A81" s="15" t="s">
        <v>132</v>
      </c>
      <c r="B81" t="s">
        <v>136</v>
      </c>
    </row>
    <row r="82" spans="1:2">
      <c r="A82" s="18" t="s">
        <v>133</v>
      </c>
      <c r="B82" s="17"/>
    </row>
    <row r="98" spans="1:2">
      <c r="A98" t="s">
        <v>139</v>
      </c>
      <c r="B98" t="s">
        <v>141</v>
      </c>
    </row>
    <row r="99" spans="1:2">
      <c r="A99" s="17">
        <v>1.9990000000000001</v>
      </c>
      <c r="B99" s="17">
        <v>19.989999999999998</v>
      </c>
    </row>
    <row r="117" spans="1:2">
      <c r="A117" s="15" t="s">
        <v>132</v>
      </c>
      <c r="B117" t="s">
        <v>142</v>
      </c>
    </row>
    <row r="118" spans="1:2">
      <c r="A118" s="16">
        <v>4</v>
      </c>
      <c r="B118" s="17">
        <v>8</v>
      </c>
    </row>
    <row r="119" spans="1:2">
      <c r="A119" s="16" t="s">
        <v>133</v>
      </c>
      <c r="B119" s="17">
        <v>8</v>
      </c>
    </row>
    <row r="135" spans="1:2">
      <c r="A135" s="15" t="s">
        <v>132</v>
      </c>
      <c r="B135" t="s">
        <v>136</v>
      </c>
    </row>
    <row r="136" spans="1:2">
      <c r="A136" s="16" t="s">
        <v>134</v>
      </c>
      <c r="B136" s="17">
        <v>141</v>
      </c>
    </row>
    <row r="137" spans="1:2">
      <c r="A137" s="16" t="s">
        <v>135</v>
      </c>
      <c r="B137" s="17">
        <v>27</v>
      </c>
    </row>
    <row r="138" spans="1:2">
      <c r="A138" s="16" t="s">
        <v>133</v>
      </c>
      <c r="B138" s="17">
        <v>168</v>
      </c>
    </row>
    <row r="153" spans="1:6">
      <c r="A153" s="15" t="s">
        <v>144</v>
      </c>
      <c r="B153" s="15" t="s">
        <v>138</v>
      </c>
    </row>
    <row r="154" spans="1:6">
      <c r="B154" t="s">
        <v>145</v>
      </c>
      <c r="C154" t="s">
        <v>134</v>
      </c>
      <c r="D154" t="s">
        <v>135</v>
      </c>
      <c r="E154" t="s">
        <v>133</v>
      </c>
    </row>
    <row r="155" spans="1:6">
      <c r="A155" s="15" t="s">
        <v>132</v>
      </c>
    </row>
    <row r="156" spans="1:6">
      <c r="A156" s="16" t="s">
        <v>143</v>
      </c>
      <c r="B156" s="17"/>
      <c r="C156" s="17"/>
      <c r="D156" s="17"/>
      <c r="E156" s="17"/>
    </row>
    <row r="157" spans="1:6">
      <c r="A157" s="16" t="s">
        <v>134</v>
      </c>
      <c r="B157" s="17"/>
      <c r="C157" s="17">
        <v>84.227288135593099</v>
      </c>
      <c r="D157" s="17">
        <v>79.989999999999995</v>
      </c>
      <c r="E157" s="17">
        <v>84.022258064515995</v>
      </c>
    </row>
    <row r="158" spans="1:6">
      <c r="A158" s="16" t="s">
        <v>135</v>
      </c>
      <c r="B158" s="17"/>
      <c r="C158" s="17"/>
      <c r="D158" s="17">
        <v>87.49</v>
      </c>
      <c r="E158" s="17">
        <v>87.49</v>
      </c>
    </row>
    <row r="159" spans="1:6">
      <c r="A159" s="16" t="s">
        <v>133</v>
      </c>
      <c r="B159" s="17"/>
      <c r="C159" s="17">
        <v>84.227288135593099</v>
      </c>
      <c r="D159" s="17">
        <v>85.444545454545505</v>
      </c>
      <c r="E159" s="17">
        <v>84.418571428571298</v>
      </c>
    </row>
    <row r="160" spans="1:6">
      <c r="A160" s="21" t="s">
        <v>132</v>
      </c>
      <c r="B160" s="21">
        <v>1</v>
      </c>
      <c r="C160" s="21">
        <v>2</v>
      </c>
      <c r="D160" s="21">
        <v>3</v>
      </c>
      <c r="E160" s="21">
        <v>4</v>
      </c>
      <c r="F160" s="21">
        <v>5</v>
      </c>
    </row>
    <row r="161" spans="1:7">
      <c r="A161" s="21" t="s">
        <v>42</v>
      </c>
      <c r="B161" s="21">
        <v>164.989</v>
      </c>
      <c r="G161" s="21">
        <v>164.989</v>
      </c>
    </row>
    <row r="162" spans="1:7">
      <c r="A162" s="21" t="s">
        <v>54</v>
      </c>
      <c r="D162" s="21">
        <v>54.988999999999997</v>
      </c>
      <c r="G162" s="21">
        <v>54.988999999999997</v>
      </c>
    </row>
    <row r="163" spans="1:7">
      <c r="A163" s="21" t="s">
        <v>56</v>
      </c>
      <c r="B163" s="21">
        <v>142.989</v>
      </c>
      <c r="G163" s="21">
        <v>142.989</v>
      </c>
    </row>
    <row r="164" spans="1:7">
      <c r="A164" s="21" t="s">
        <v>28</v>
      </c>
      <c r="B164" s="21">
        <v>98.989000000000004</v>
      </c>
      <c r="G164" s="21">
        <v>98.989000000000004</v>
      </c>
    </row>
    <row r="165" spans="1:7">
      <c r="A165" s="21" t="s">
        <v>110</v>
      </c>
      <c r="C165" s="21">
        <v>76.989000000000004</v>
      </c>
      <c r="E165" s="21">
        <v>21.989000000000001</v>
      </c>
      <c r="G165" s="21">
        <v>98.977999999999994</v>
      </c>
    </row>
    <row r="166" spans="1:7">
      <c r="A166" s="21" t="s">
        <v>83</v>
      </c>
      <c r="B166" s="21">
        <v>219.989</v>
      </c>
      <c r="G166" s="21">
        <v>219.989</v>
      </c>
    </row>
    <row r="167" spans="1:7">
      <c r="A167" s="21" t="s">
        <v>95</v>
      </c>
      <c r="B167" s="21">
        <v>164.989</v>
      </c>
      <c r="D167" s="21">
        <v>43.988999999999997</v>
      </c>
      <c r="G167" s="21">
        <v>208.97800000000001</v>
      </c>
    </row>
    <row r="168" spans="1:7">
      <c r="A168" s="21" t="s">
        <v>24</v>
      </c>
      <c r="D168" s="21">
        <v>43.988999999999997</v>
      </c>
      <c r="G168" s="21">
        <v>43.988999999999997</v>
      </c>
    </row>
    <row r="169" spans="1:7">
      <c r="A169" s="21" t="s">
        <v>48</v>
      </c>
      <c r="B169" s="21">
        <v>219.989</v>
      </c>
      <c r="G169" s="21">
        <v>219.989</v>
      </c>
    </row>
    <row r="170" spans="1:7">
      <c r="A170" s="21" t="s">
        <v>67</v>
      </c>
      <c r="F170" s="21">
        <v>32.988999999999997</v>
      </c>
      <c r="G170" s="21">
        <v>32.988999999999997</v>
      </c>
    </row>
    <row r="171" spans="1:7">
      <c r="A171" s="21" t="s">
        <v>75</v>
      </c>
      <c r="E171" s="21">
        <v>21.989000000000001</v>
      </c>
      <c r="G171" s="21">
        <v>21.989000000000001</v>
      </c>
    </row>
    <row r="172" spans="1:7">
      <c r="A172" s="21" t="s">
        <v>118</v>
      </c>
      <c r="C172" s="21">
        <v>87.989000000000004</v>
      </c>
      <c r="G172" s="21">
        <v>87.989000000000004</v>
      </c>
    </row>
    <row r="173" spans="1:7">
      <c r="A173" s="21" t="s">
        <v>102</v>
      </c>
      <c r="D173" s="21">
        <v>54.988999999999997</v>
      </c>
      <c r="F173" s="21">
        <v>32.988999999999997</v>
      </c>
      <c r="G173" s="21">
        <v>87.977999999999994</v>
      </c>
    </row>
    <row r="174" spans="1:7">
      <c r="A174" s="21" t="s">
        <v>20</v>
      </c>
      <c r="B174" s="21">
        <v>472.96699999999998</v>
      </c>
      <c r="G174" s="21">
        <v>472.96699999999998</v>
      </c>
    </row>
    <row r="175" spans="1:7">
      <c r="A175" s="21" t="s">
        <v>18</v>
      </c>
      <c r="C175" s="21">
        <v>76.989000000000004</v>
      </c>
      <c r="E175" s="21">
        <v>43.978000000000002</v>
      </c>
      <c r="G175" s="21">
        <v>120.967</v>
      </c>
    </row>
    <row r="176" spans="1:7">
      <c r="A176" s="21" t="s">
        <v>65</v>
      </c>
      <c r="B176" s="21">
        <v>219.989</v>
      </c>
      <c r="G176" s="21">
        <v>219.989</v>
      </c>
    </row>
    <row r="177" spans="1:7">
      <c r="A177" s="21" t="s">
        <v>108</v>
      </c>
      <c r="B177" s="21">
        <v>307.97800000000001</v>
      </c>
      <c r="G177" s="21">
        <v>307.97800000000001</v>
      </c>
    </row>
    <row r="178" spans="1:7">
      <c r="A178" s="21" t="s">
        <v>81</v>
      </c>
      <c r="D178" s="21">
        <v>43.988999999999997</v>
      </c>
      <c r="G178" s="21">
        <v>43.988999999999997</v>
      </c>
    </row>
    <row r="179" spans="1:7">
      <c r="A179" s="21" t="s">
        <v>44</v>
      </c>
      <c r="C179" s="21">
        <v>76.989000000000004</v>
      </c>
      <c r="G179" s="21">
        <v>76.989000000000004</v>
      </c>
    </row>
    <row r="180" spans="1:7">
      <c r="A180" s="21" t="s">
        <v>14</v>
      </c>
      <c r="B180" s="21">
        <v>32.988999999999997</v>
      </c>
      <c r="G180" s="21">
        <v>32.988999999999997</v>
      </c>
    </row>
    <row r="181" spans="1:7">
      <c r="A181" s="21" t="s">
        <v>50</v>
      </c>
      <c r="B181" s="21">
        <v>219.989</v>
      </c>
      <c r="C181" s="21">
        <v>76.989000000000004</v>
      </c>
      <c r="F181" s="21">
        <v>32.988999999999997</v>
      </c>
      <c r="G181" s="21">
        <v>329.96699999999998</v>
      </c>
    </row>
    <row r="182" spans="1:7">
      <c r="A182" s="21" t="s">
        <v>112</v>
      </c>
      <c r="B182" s="21">
        <v>164.989</v>
      </c>
      <c r="D182" s="21">
        <v>43.988999999999997</v>
      </c>
      <c r="G182" s="21">
        <v>208.97800000000001</v>
      </c>
    </row>
    <row r="183" spans="1:7">
      <c r="A183" s="21" t="s">
        <v>69</v>
      </c>
      <c r="C183" s="21">
        <v>87.989000000000004</v>
      </c>
      <c r="G183" s="21">
        <v>87.989000000000004</v>
      </c>
    </row>
    <row r="184" spans="1:7">
      <c r="A184" s="21" t="s">
        <v>85</v>
      </c>
      <c r="F184" s="21">
        <v>32.988999999999997</v>
      </c>
      <c r="G184" s="21">
        <v>32.988999999999997</v>
      </c>
    </row>
    <row r="185" spans="1:7">
      <c r="A185" s="21" t="s">
        <v>38</v>
      </c>
      <c r="B185" s="21">
        <v>142.989</v>
      </c>
      <c r="G185" s="21">
        <v>142.989</v>
      </c>
    </row>
    <row r="186" spans="1:7">
      <c r="A186" s="21" t="s">
        <v>73</v>
      </c>
      <c r="B186" s="21">
        <v>142.989</v>
      </c>
      <c r="G186" s="21">
        <v>142.989</v>
      </c>
    </row>
    <row r="187" spans="1:7">
      <c r="A187" s="21" t="s">
        <v>58</v>
      </c>
      <c r="D187" s="21">
        <v>54.988999999999997</v>
      </c>
      <c r="E187" s="21">
        <v>21.989000000000001</v>
      </c>
      <c r="G187" s="21">
        <v>76.977999999999994</v>
      </c>
    </row>
    <row r="188" spans="1:7">
      <c r="A188" s="21" t="s">
        <v>116</v>
      </c>
      <c r="F188" s="21">
        <v>32.988999999999997</v>
      </c>
      <c r="G188" s="21">
        <v>32.988999999999997</v>
      </c>
    </row>
    <row r="189" spans="1:7">
      <c r="A189" s="21" t="s">
        <v>100</v>
      </c>
      <c r="B189" s="21">
        <v>219.989</v>
      </c>
      <c r="C189" s="21">
        <v>87.989000000000004</v>
      </c>
      <c r="G189" s="21">
        <v>307.97800000000001</v>
      </c>
    </row>
    <row r="190" spans="1:7">
      <c r="A190" s="21" t="s">
        <v>12</v>
      </c>
      <c r="C190" s="21">
        <v>54.988999999999997</v>
      </c>
      <c r="G190" s="21">
        <v>54.988999999999997</v>
      </c>
    </row>
    <row r="191" spans="1:7">
      <c r="A191" s="21" t="s">
        <v>30</v>
      </c>
      <c r="B191" s="21">
        <v>219.989</v>
      </c>
      <c r="G191" s="21">
        <v>219.989</v>
      </c>
    </row>
    <row r="192" spans="1:7">
      <c r="A192" s="21" t="s">
        <v>46</v>
      </c>
      <c r="D192" s="21">
        <v>43.988999999999997</v>
      </c>
      <c r="G192" s="21">
        <v>43.988999999999997</v>
      </c>
    </row>
    <row r="193" spans="1:7">
      <c r="A193" s="21" t="s">
        <v>22</v>
      </c>
      <c r="C193" s="21">
        <v>87.989000000000004</v>
      </c>
      <c r="G193" s="21">
        <v>87.989000000000004</v>
      </c>
    </row>
    <row r="194" spans="1:7">
      <c r="A194" s="21" t="s">
        <v>92</v>
      </c>
      <c r="B194" s="21">
        <v>307.97800000000001</v>
      </c>
      <c r="G194" s="21">
        <v>307.97800000000001</v>
      </c>
    </row>
    <row r="195" spans="1:7">
      <c r="A195" s="21" t="s">
        <v>79</v>
      </c>
      <c r="C195" s="21">
        <v>76.989000000000004</v>
      </c>
      <c r="G195" s="21">
        <v>76.989000000000004</v>
      </c>
    </row>
    <row r="196" spans="1:7">
      <c r="A196" s="21" t="s">
        <v>63</v>
      </c>
      <c r="D196" s="21">
        <v>43.988999999999997</v>
      </c>
      <c r="G196" s="21">
        <v>43.988999999999997</v>
      </c>
    </row>
    <row r="197" spans="1:7">
      <c r="A197" s="21" t="s">
        <v>106</v>
      </c>
      <c r="D197" s="21">
        <v>54.988999999999997</v>
      </c>
      <c r="E197" s="21">
        <v>21.989000000000001</v>
      </c>
      <c r="G197" s="21">
        <v>76.977999999999994</v>
      </c>
    </row>
    <row r="198" spans="1:7">
      <c r="A198" s="21" t="s">
        <v>40</v>
      </c>
      <c r="E198" s="21">
        <v>21.989000000000001</v>
      </c>
      <c r="G198" s="21">
        <v>21.989000000000001</v>
      </c>
    </row>
    <row r="199" spans="1:7">
      <c r="A199" s="21" t="s">
        <v>34</v>
      </c>
      <c r="C199" s="21">
        <v>87.989000000000004</v>
      </c>
      <c r="G199" s="21">
        <v>87.989000000000004</v>
      </c>
    </row>
    <row r="200" spans="1:7">
      <c r="A200" s="21" t="s">
        <v>114</v>
      </c>
      <c r="B200" s="21">
        <v>219.989</v>
      </c>
      <c r="G200" s="21">
        <v>219.989</v>
      </c>
    </row>
    <row r="201" spans="1:7">
      <c r="A201" s="21" t="s">
        <v>52</v>
      </c>
      <c r="C201" s="21">
        <v>87.989000000000004</v>
      </c>
      <c r="G201" s="21">
        <v>87.989000000000004</v>
      </c>
    </row>
    <row r="202" spans="1:7">
      <c r="A202" s="21" t="s">
        <v>16</v>
      </c>
      <c r="C202" s="21">
        <v>87.989000000000004</v>
      </c>
      <c r="D202" s="21">
        <v>109.989</v>
      </c>
      <c r="G202" s="21">
        <v>197.97800000000001</v>
      </c>
    </row>
    <row r="203" spans="1:7">
      <c r="A203" s="21" t="s">
        <v>98</v>
      </c>
      <c r="D203" s="21">
        <v>43.988999999999997</v>
      </c>
      <c r="F203" s="21">
        <v>32.988999999999997</v>
      </c>
      <c r="G203" s="21">
        <v>76.977999999999994</v>
      </c>
    </row>
    <row r="204" spans="1:7">
      <c r="A204" s="21" t="s">
        <v>71</v>
      </c>
      <c r="D204" s="21">
        <v>54.988999999999997</v>
      </c>
      <c r="G204" s="21">
        <v>54.988999999999997</v>
      </c>
    </row>
    <row r="205" spans="1:7">
      <c r="A205" s="21" t="s">
        <v>36</v>
      </c>
      <c r="D205" s="21">
        <v>54.988999999999997</v>
      </c>
      <c r="G205" s="21">
        <v>54.988999999999997</v>
      </c>
    </row>
    <row r="206" spans="1:7">
      <c r="A206" s="21" t="s">
        <v>26</v>
      </c>
      <c r="C206" s="21">
        <v>76.989000000000004</v>
      </c>
      <c r="G206" s="21">
        <v>76.989000000000004</v>
      </c>
    </row>
    <row r="207" spans="1:7">
      <c r="A207" s="21" t="s">
        <v>77</v>
      </c>
      <c r="B207" s="21">
        <v>164.989</v>
      </c>
      <c r="G207" s="21">
        <v>164.989</v>
      </c>
    </row>
    <row r="208" spans="1:7">
      <c r="A208" s="21" t="s">
        <v>104</v>
      </c>
      <c r="B208" s="21">
        <v>142.989</v>
      </c>
      <c r="C208" s="21">
        <v>87.989000000000004</v>
      </c>
      <c r="G208" s="21">
        <v>230.97800000000001</v>
      </c>
    </row>
    <row r="209" spans="1:7">
      <c r="A209" s="21" t="s">
        <v>90</v>
      </c>
      <c r="D209" s="21">
        <v>54.988999999999997</v>
      </c>
      <c r="E209" s="21">
        <v>21.989000000000001</v>
      </c>
      <c r="G209" s="21">
        <v>76.977999999999994</v>
      </c>
    </row>
    <row r="210" spans="1:7">
      <c r="A210" s="21" t="s">
        <v>61</v>
      </c>
      <c r="C210" s="21">
        <v>76.989000000000004</v>
      </c>
      <c r="G210" s="21">
        <v>76.989000000000004</v>
      </c>
    </row>
    <row r="211" spans="1:7">
      <c r="A211" s="21" t="s">
        <v>32</v>
      </c>
      <c r="F211" s="21">
        <v>32.988999999999997</v>
      </c>
      <c r="G211" s="21">
        <v>32.988999999999997</v>
      </c>
    </row>
    <row r="212" spans="1:7">
      <c r="A212" s="21" t="s">
        <v>133</v>
      </c>
      <c r="B212" s="21">
        <v>3992.7359999999999</v>
      </c>
      <c r="C212" s="21">
        <v>1297.8240000000001</v>
      </c>
      <c r="D212" s="21">
        <v>802.83500000000004</v>
      </c>
      <c r="E212" s="21">
        <v>175.91200000000001</v>
      </c>
      <c r="F212" s="21">
        <v>230.923</v>
      </c>
      <c r="G212" s="21">
        <v>6500.2299999999896</v>
      </c>
    </row>
    <row r="216" spans="1:7">
      <c r="A216" s="21" t="s">
        <v>132</v>
      </c>
    </row>
    <row r="217" spans="1:7">
      <c r="A217" s="21" t="s">
        <v>134</v>
      </c>
      <c r="B217" s="21">
        <v>54.988999999999997</v>
      </c>
    </row>
    <row r="218" spans="1:7">
      <c r="A218" s="21" t="s">
        <v>133</v>
      </c>
      <c r="B218" s="21">
        <v>54.988999999999997</v>
      </c>
    </row>
    <row r="237" spans="1:1">
      <c r="A237" s="21" t="s">
        <v>132</v>
      </c>
    </row>
    <row r="238" spans="1:1">
      <c r="A238" s="21" t="s">
        <v>133</v>
      </c>
    </row>
    <row r="254" spans="1:2">
      <c r="A254" s="21" t="s">
        <v>139</v>
      </c>
    </row>
    <row r="255" spans="1:2">
      <c r="A255" s="21" t="s">
        <v>159</v>
      </c>
      <c r="B255" s="21">
        <v>19.989999999999998</v>
      </c>
    </row>
    <row r="273" spans="1:2">
      <c r="A273" s="21" t="s">
        <v>132</v>
      </c>
    </row>
    <row r="274" spans="1:2">
      <c r="A274" s="21" t="s">
        <v>160</v>
      </c>
      <c r="B274" s="21">
        <v>8</v>
      </c>
    </row>
    <row r="275" spans="1:2">
      <c r="A275" s="21" t="s">
        <v>133</v>
      </c>
      <c r="B275" s="21">
        <v>8</v>
      </c>
    </row>
    <row r="291" spans="1:2">
      <c r="A291" s="21" t="s">
        <v>132</v>
      </c>
    </row>
    <row r="292" spans="1:2">
      <c r="A292" s="21" t="s">
        <v>134</v>
      </c>
      <c r="B292" s="21">
        <v>141</v>
      </c>
    </row>
    <row r="293" spans="1:2">
      <c r="A293" s="21" t="s">
        <v>135</v>
      </c>
      <c r="B293" s="21">
        <v>27</v>
      </c>
    </row>
    <row r="294" spans="1:2">
      <c r="A294" s="21" t="s">
        <v>133</v>
      </c>
      <c r="B294" s="21">
        <v>168</v>
      </c>
    </row>
    <row r="309" spans="1:7">
      <c r="A309" s="21" t="s">
        <v>144</v>
      </c>
    </row>
    <row r="311" spans="1:7">
      <c r="A311" s="21" t="s">
        <v>132</v>
      </c>
    </row>
    <row r="312" spans="1:7">
      <c r="A312" s="21" t="s">
        <v>143</v>
      </c>
    </row>
    <row r="313" spans="1:7">
      <c r="A313" s="21" t="s">
        <v>134</v>
      </c>
      <c r="C313" s="21">
        <v>84.227288135593099</v>
      </c>
      <c r="D313" s="21">
        <v>79.989999999999995</v>
      </c>
      <c r="E313" s="21">
        <v>84.022258064515995</v>
      </c>
    </row>
    <row r="314" spans="1:7">
      <c r="A314" s="21" t="s">
        <v>135</v>
      </c>
      <c r="D314" s="21">
        <v>87.49</v>
      </c>
      <c r="E314" s="21">
        <v>87.49</v>
      </c>
    </row>
    <row r="315" spans="1:7">
      <c r="A315" s="21" t="s">
        <v>133</v>
      </c>
      <c r="C315" s="21">
        <v>84.227288135593099</v>
      </c>
      <c r="D315" s="21">
        <v>85.444545454545505</v>
      </c>
      <c r="E315" s="21">
        <v>84.418571428571298</v>
      </c>
    </row>
    <row r="316" spans="1:7">
      <c r="A316" s="21" t="s">
        <v>132</v>
      </c>
      <c r="B316" s="21">
        <v>1</v>
      </c>
      <c r="C316" s="21">
        <v>2</v>
      </c>
      <c r="D316" s="21">
        <v>3</v>
      </c>
      <c r="E316" s="21">
        <v>4</v>
      </c>
      <c r="F316" s="21">
        <v>5</v>
      </c>
    </row>
    <row r="317" spans="1:7">
      <c r="A317" s="21" t="s">
        <v>42</v>
      </c>
      <c r="B317" s="21">
        <v>164.989</v>
      </c>
      <c r="G317" s="21">
        <v>164.989</v>
      </c>
    </row>
    <row r="318" spans="1:7">
      <c r="A318" s="21" t="s">
        <v>54</v>
      </c>
      <c r="D318" s="21">
        <v>54.988999999999997</v>
      </c>
      <c r="G318" s="21">
        <v>54.988999999999997</v>
      </c>
    </row>
    <row r="319" spans="1:7">
      <c r="A319" s="21" t="s">
        <v>56</v>
      </c>
      <c r="B319" s="21">
        <v>142.989</v>
      </c>
      <c r="G319" s="21">
        <v>142.989</v>
      </c>
    </row>
    <row r="320" spans="1:7">
      <c r="A320" s="21" t="s">
        <v>28</v>
      </c>
      <c r="B320" s="21">
        <v>98.989000000000004</v>
      </c>
      <c r="G320" s="21">
        <v>98.989000000000004</v>
      </c>
    </row>
    <row r="321" spans="1:7">
      <c r="A321" s="21" t="s">
        <v>110</v>
      </c>
      <c r="C321" s="21">
        <v>76.989000000000004</v>
      </c>
      <c r="E321" s="21">
        <v>21.989000000000001</v>
      </c>
      <c r="G321" s="21">
        <v>98.977999999999994</v>
      </c>
    </row>
    <row r="322" spans="1:7">
      <c r="A322" s="21" t="s">
        <v>83</v>
      </c>
      <c r="B322" s="21">
        <v>219.989</v>
      </c>
      <c r="G322" s="21">
        <v>219.989</v>
      </c>
    </row>
    <row r="323" spans="1:7">
      <c r="A323" s="21" t="s">
        <v>95</v>
      </c>
      <c r="B323" s="21">
        <v>164.989</v>
      </c>
      <c r="D323" s="21">
        <v>43.988999999999997</v>
      </c>
      <c r="G323" s="21">
        <v>208.97800000000001</v>
      </c>
    </row>
    <row r="324" spans="1:7">
      <c r="A324" s="21" t="s">
        <v>24</v>
      </c>
      <c r="D324" s="21">
        <v>43.988999999999997</v>
      </c>
      <c r="G324" s="21">
        <v>43.988999999999997</v>
      </c>
    </row>
    <row r="325" spans="1:7">
      <c r="A325" s="21" t="s">
        <v>48</v>
      </c>
      <c r="B325" s="21">
        <v>219.989</v>
      </c>
      <c r="G325" s="21">
        <v>219.989</v>
      </c>
    </row>
    <row r="326" spans="1:7">
      <c r="A326" s="21" t="s">
        <v>67</v>
      </c>
      <c r="F326" s="21">
        <v>32.988999999999997</v>
      </c>
      <c r="G326" s="21">
        <v>32.988999999999997</v>
      </c>
    </row>
    <row r="327" spans="1:7">
      <c r="A327" s="21" t="s">
        <v>75</v>
      </c>
      <c r="E327" s="21">
        <v>21.989000000000001</v>
      </c>
      <c r="G327" s="21">
        <v>21.989000000000001</v>
      </c>
    </row>
    <row r="328" spans="1:7">
      <c r="A328" s="21" t="s">
        <v>118</v>
      </c>
      <c r="C328" s="21">
        <v>87.989000000000004</v>
      </c>
      <c r="G328" s="21">
        <v>87.989000000000004</v>
      </c>
    </row>
    <row r="329" spans="1:7">
      <c r="A329" s="21" t="s">
        <v>102</v>
      </c>
      <c r="D329" s="21">
        <v>54.988999999999997</v>
      </c>
      <c r="F329" s="21">
        <v>32.988999999999997</v>
      </c>
      <c r="G329" s="21">
        <v>87.977999999999994</v>
      </c>
    </row>
    <row r="330" spans="1:7">
      <c r="A330" s="21" t="s">
        <v>20</v>
      </c>
      <c r="B330" s="21">
        <v>472.96699999999998</v>
      </c>
      <c r="G330" s="21">
        <v>472.96699999999998</v>
      </c>
    </row>
    <row r="331" spans="1:7">
      <c r="A331" s="21" t="s">
        <v>18</v>
      </c>
      <c r="C331" s="21">
        <v>76.989000000000004</v>
      </c>
      <c r="E331" s="21">
        <v>43.978000000000002</v>
      </c>
      <c r="G331" s="21">
        <v>120.967</v>
      </c>
    </row>
    <row r="332" spans="1:7">
      <c r="A332" s="21" t="s">
        <v>65</v>
      </c>
      <c r="B332" s="21">
        <v>219.989</v>
      </c>
      <c r="G332" s="21">
        <v>219.989</v>
      </c>
    </row>
    <row r="333" spans="1:7">
      <c r="A333" s="21" t="s">
        <v>108</v>
      </c>
      <c r="B333" s="21">
        <v>307.97800000000001</v>
      </c>
      <c r="G333" s="21">
        <v>307.97800000000001</v>
      </c>
    </row>
    <row r="334" spans="1:7">
      <c r="A334" s="21" t="s">
        <v>81</v>
      </c>
      <c r="D334" s="21">
        <v>43.988999999999997</v>
      </c>
      <c r="G334" s="21">
        <v>43.988999999999997</v>
      </c>
    </row>
    <row r="335" spans="1:7">
      <c r="A335" s="21" t="s">
        <v>44</v>
      </c>
      <c r="C335" s="21">
        <v>76.989000000000004</v>
      </c>
      <c r="G335" s="21">
        <v>76.989000000000004</v>
      </c>
    </row>
    <row r="336" spans="1:7">
      <c r="A336" s="21" t="s">
        <v>14</v>
      </c>
      <c r="B336" s="21">
        <v>32.988999999999997</v>
      </c>
      <c r="G336" s="21">
        <v>32.988999999999997</v>
      </c>
    </row>
    <row r="337" spans="1:7">
      <c r="A337" s="21" t="s">
        <v>50</v>
      </c>
      <c r="B337" s="21">
        <v>219.989</v>
      </c>
      <c r="C337" s="21">
        <v>76.989000000000004</v>
      </c>
      <c r="F337" s="21">
        <v>32.988999999999997</v>
      </c>
      <c r="G337" s="21">
        <v>329.96699999999998</v>
      </c>
    </row>
    <row r="338" spans="1:7">
      <c r="A338" s="21" t="s">
        <v>112</v>
      </c>
      <c r="B338" s="21">
        <v>164.989</v>
      </c>
      <c r="D338" s="21">
        <v>43.988999999999997</v>
      </c>
      <c r="G338" s="21">
        <v>208.97800000000001</v>
      </c>
    </row>
    <row r="339" spans="1:7">
      <c r="A339" s="21" t="s">
        <v>69</v>
      </c>
      <c r="C339" s="21">
        <v>87.989000000000004</v>
      </c>
      <c r="G339" s="21">
        <v>87.989000000000004</v>
      </c>
    </row>
    <row r="340" spans="1:7">
      <c r="A340" s="21" t="s">
        <v>85</v>
      </c>
      <c r="F340" s="21">
        <v>32.988999999999997</v>
      </c>
      <c r="G340" s="21">
        <v>32.988999999999997</v>
      </c>
    </row>
    <row r="341" spans="1:7">
      <c r="A341" s="21" t="s">
        <v>38</v>
      </c>
      <c r="B341" s="21">
        <v>142.989</v>
      </c>
      <c r="G341" s="21">
        <v>142.989</v>
      </c>
    </row>
    <row r="342" spans="1:7">
      <c r="A342" s="21" t="s">
        <v>73</v>
      </c>
      <c r="B342" s="21">
        <v>142.989</v>
      </c>
      <c r="G342" s="21">
        <v>142.989</v>
      </c>
    </row>
    <row r="343" spans="1:7">
      <c r="A343" s="21" t="s">
        <v>58</v>
      </c>
      <c r="D343" s="21">
        <v>54.988999999999997</v>
      </c>
      <c r="E343" s="21">
        <v>21.989000000000001</v>
      </c>
      <c r="G343" s="21">
        <v>76.977999999999994</v>
      </c>
    </row>
    <row r="344" spans="1:7">
      <c r="A344" s="21" t="s">
        <v>116</v>
      </c>
      <c r="F344" s="21">
        <v>32.988999999999997</v>
      </c>
      <c r="G344" s="21">
        <v>32.988999999999997</v>
      </c>
    </row>
    <row r="345" spans="1:7">
      <c r="A345" s="21" t="s">
        <v>100</v>
      </c>
      <c r="B345" s="21">
        <v>219.989</v>
      </c>
      <c r="C345" s="21">
        <v>87.989000000000004</v>
      </c>
      <c r="G345" s="21">
        <v>307.97800000000001</v>
      </c>
    </row>
    <row r="346" spans="1:7">
      <c r="A346" s="21" t="s">
        <v>12</v>
      </c>
      <c r="C346" s="21">
        <v>54.988999999999997</v>
      </c>
      <c r="G346" s="21">
        <v>54.988999999999997</v>
      </c>
    </row>
    <row r="347" spans="1:7">
      <c r="A347" s="21" t="s">
        <v>30</v>
      </c>
      <c r="B347" s="21">
        <v>219.989</v>
      </c>
      <c r="G347" s="21">
        <v>219.989</v>
      </c>
    </row>
    <row r="348" spans="1:7">
      <c r="A348" s="21" t="s">
        <v>46</v>
      </c>
      <c r="D348" s="21">
        <v>43.988999999999997</v>
      </c>
      <c r="G348" s="21">
        <v>43.988999999999997</v>
      </c>
    </row>
    <row r="349" spans="1:7">
      <c r="A349" s="21" t="s">
        <v>22</v>
      </c>
      <c r="C349" s="21">
        <v>87.989000000000004</v>
      </c>
      <c r="G349" s="21">
        <v>87.989000000000004</v>
      </c>
    </row>
    <row r="350" spans="1:7">
      <c r="A350" s="21" t="s">
        <v>92</v>
      </c>
      <c r="B350" s="21">
        <v>307.97800000000001</v>
      </c>
      <c r="G350" s="21">
        <v>307.97800000000001</v>
      </c>
    </row>
    <row r="351" spans="1:7">
      <c r="A351" s="21" t="s">
        <v>79</v>
      </c>
      <c r="C351" s="21">
        <v>76.989000000000004</v>
      </c>
      <c r="G351" s="21">
        <v>76.989000000000004</v>
      </c>
    </row>
    <row r="352" spans="1:7">
      <c r="A352" s="21" t="s">
        <v>63</v>
      </c>
      <c r="D352" s="21">
        <v>43.988999999999997</v>
      </c>
      <c r="G352" s="21">
        <v>43.988999999999997</v>
      </c>
    </row>
    <row r="353" spans="1:7">
      <c r="A353" s="21" t="s">
        <v>106</v>
      </c>
      <c r="D353" s="21">
        <v>54.988999999999997</v>
      </c>
      <c r="E353" s="21">
        <v>21.989000000000001</v>
      </c>
      <c r="G353" s="21">
        <v>76.977999999999994</v>
      </c>
    </row>
    <row r="354" spans="1:7">
      <c r="A354" s="21" t="s">
        <v>40</v>
      </c>
      <c r="E354" s="21">
        <v>21.989000000000001</v>
      </c>
      <c r="G354" s="21">
        <v>21.989000000000001</v>
      </c>
    </row>
    <row r="355" spans="1:7">
      <c r="A355" s="21" t="s">
        <v>34</v>
      </c>
      <c r="C355" s="21">
        <v>87.989000000000004</v>
      </c>
      <c r="G355" s="21">
        <v>87.989000000000004</v>
      </c>
    </row>
    <row r="356" spans="1:7">
      <c r="A356" s="21" t="s">
        <v>114</v>
      </c>
      <c r="B356" s="21">
        <v>219.989</v>
      </c>
      <c r="G356" s="21">
        <v>219.989</v>
      </c>
    </row>
    <row r="357" spans="1:7">
      <c r="A357" s="21" t="s">
        <v>52</v>
      </c>
      <c r="C357" s="21">
        <v>87.989000000000004</v>
      </c>
      <c r="G357" s="21">
        <v>87.989000000000004</v>
      </c>
    </row>
    <row r="358" spans="1:7">
      <c r="A358" s="21" t="s">
        <v>16</v>
      </c>
      <c r="C358" s="21">
        <v>87.989000000000004</v>
      </c>
      <c r="D358" s="21">
        <v>109.989</v>
      </c>
      <c r="G358" s="21">
        <v>197.97800000000001</v>
      </c>
    </row>
    <row r="359" spans="1:7">
      <c r="A359" s="21" t="s">
        <v>98</v>
      </c>
      <c r="D359" s="21">
        <v>43.988999999999997</v>
      </c>
      <c r="F359" s="21">
        <v>32.988999999999997</v>
      </c>
      <c r="G359" s="21">
        <v>76.977999999999994</v>
      </c>
    </row>
    <row r="360" spans="1:7">
      <c r="A360" s="21" t="s">
        <v>71</v>
      </c>
      <c r="D360" s="21">
        <v>54.988999999999997</v>
      </c>
      <c r="G360" s="21">
        <v>54.988999999999997</v>
      </c>
    </row>
    <row r="361" spans="1:7">
      <c r="A361" s="21" t="s">
        <v>36</v>
      </c>
      <c r="D361" s="21">
        <v>54.988999999999997</v>
      </c>
      <c r="G361" s="21">
        <v>54.988999999999997</v>
      </c>
    </row>
    <row r="362" spans="1:7">
      <c r="A362" s="21" t="s">
        <v>26</v>
      </c>
      <c r="C362" s="21">
        <v>76.989000000000004</v>
      </c>
      <c r="G362" s="21">
        <v>76.989000000000004</v>
      </c>
    </row>
    <row r="363" spans="1:7">
      <c r="A363" s="21" t="s">
        <v>77</v>
      </c>
      <c r="B363" s="21">
        <v>164.989</v>
      </c>
      <c r="G363" s="21">
        <v>164.989</v>
      </c>
    </row>
    <row r="364" spans="1:7">
      <c r="A364" s="21" t="s">
        <v>104</v>
      </c>
      <c r="B364" s="21">
        <v>142.989</v>
      </c>
      <c r="C364" s="21">
        <v>87.989000000000004</v>
      </c>
      <c r="G364" s="21">
        <v>230.97800000000001</v>
      </c>
    </row>
    <row r="365" spans="1:7">
      <c r="A365" s="21" t="s">
        <v>90</v>
      </c>
      <c r="D365" s="21">
        <v>54.988999999999997</v>
      </c>
      <c r="E365" s="21">
        <v>21.989000000000001</v>
      </c>
      <c r="G365" s="21">
        <v>76.977999999999994</v>
      </c>
    </row>
    <row r="366" spans="1:7">
      <c r="A366" s="21" t="s">
        <v>61</v>
      </c>
      <c r="C366" s="21">
        <v>76.989000000000004</v>
      </c>
      <c r="G366" s="21">
        <v>76.989000000000004</v>
      </c>
    </row>
    <row r="367" spans="1:7">
      <c r="A367" s="21" t="s">
        <v>32</v>
      </c>
      <c r="F367" s="21">
        <v>32.988999999999997</v>
      </c>
      <c r="G367" s="21">
        <v>32.988999999999997</v>
      </c>
    </row>
    <row r="368" spans="1:7">
      <c r="A368" s="21" t="s">
        <v>133</v>
      </c>
      <c r="B368" s="21">
        <v>3992.7359999999999</v>
      </c>
      <c r="C368" s="21">
        <v>1297.8240000000001</v>
      </c>
      <c r="D368" s="21">
        <v>802.83500000000004</v>
      </c>
      <c r="E368" s="21">
        <v>175.91200000000001</v>
      </c>
      <c r="F368" s="21">
        <v>230.923</v>
      </c>
      <c r="G368" s="21">
        <v>6500.2299999999896</v>
      </c>
    </row>
    <row r="372" spans="1:2">
      <c r="A372" s="21" t="s">
        <v>132</v>
      </c>
    </row>
    <row r="373" spans="1:2">
      <c r="A373" s="21" t="s">
        <v>134</v>
      </c>
      <c r="B373" s="21">
        <v>54.988999999999997</v>
      </c>
    </row>
    <row r="374" spans="1:2">
      <c r="A374" s="21" t="s">
        <v>133</v>
      </c>
      <c r="B374" s="21">
        <v>54.988999999999997</v>
      </c>
    </row>
    <row r="393" spans="1:1">
      <c r="A393" s="21" t="s">
        <v>132</v>
      </c>
    </row>
    <row r="394" spans="1:1">
      <c r="A394" s="21" t="s">
        <v>133</v>
      </c>
    </row>
    <row r="410" spans="1:2">
      <c r="A410" s="21" t="s">
        <v>139</v>
      </c>
    </row>
    <row r="411" spans="1:2">
      <c r="A411" s="21" t="s">
        <v>159</v>
      </c>
      <c r="B411" s="21">
        <v>19.989999999999998</v>
      </c>
    </row>
    <row r="429" spans="1:2">
      <c r="A429" s="21" t="s">
        <v>132</v>
      </c>
    </row>
    <row r="430" spans="1:2">
      <c r="A430" s="21" t="s">
        <v>160</v>
      </c>
      <c r="B430" s="21">
        <v>8</v>
      </c>
    </row>
    <row r="431" spans="1:2">
      <c r="A431" s="21" t="s">
        <v>133</v>
      </c>
      <c r="B431" s="21">
        <v>8</v>
      </c>
    </row>
    <row r="447" spans="1:2">
      <c r="A447" s="21" t="s">
        <v>132</v>
      </c>
    </row>
    <row r="448" spans="1:2">
      <c r="A448" s="21" t="s">
        <v>134</v>
      </c>
      <c r="B448" s="21">
        <v>141</v>
      </c>
    </row>
    <row r="449" spans="1:2">
      <c r="A449" s="21" t="s">
        <v>135</v>
      </c>
      <c r="B449" s="21">
        <v>27</v>
      </c>
    </row>
    <row r="450" spans="1:2">
      <c r="A450" s="21" t="s">
        <v>133</v>
      </c>
      <c r="B450" s="21">
        <v>168</v>
      </c>
    </row>
    <row r="465" spans="1:7">
      <c r="A465" s="21" t="s">
        <v>144</v>
      </c>
    </row>
    <row r="467" spans="1:7">
      <c r="A467" s="21" t="s">
        <v>132</v>
      </c>
    </row>
    <row r="468" spans="1:7">
      <c r="A468" s="21" t="s">
        <v>143</v>
      </c>
    </row>
    <row r="469" spans="1:7">
      <c r="A469" s="21" t="s">
        <v>134</v>
      </c>
      <c r="C469" s="21">
        <v>84.227288135593099</v>
      </c>
      <c r="D469" s="21">
        <v>79.989999999999995</v>
      </c>
      <c r="E469" s="21">
        <v>84.022258064515995</v>
      </c>
    </row>
    <row r="470" spans="1:7">
      <c r="A470" s="21" t="s">
        <v>135</v>
      </c>
      <c r="D470" s="21">
        <v>87.49</v>
      </c>
      <c r="E470" s="21">
        <v>87.49</v>
      </c>
    </row>
    <row r="471" spans="1:7">
      <c r="A471" s="21" t="s">
        <v>133</v>
      </c>
      <c r="C471" s="21">
        <v>84.227288135593099</v>
      </c>
      <c r="D471" s="21">
        <v>85.444545454545505</v>
      </c>
      <c r="E471" s="21">
        <v>84.418571428571298</v>
      </c>
    </row>
    <row r="472" spans="1:7">
      <c r="A472" s="21" t="s">
        <v>132</v>
      </c>
      <c r="B472" s="21">
        <v>1</v>
      </c>
      <c r="C472" s="21">
        <v>2</v>
      </c>
      <c r="D472" s="21">
        <v>3</v>
      </c>
      <c r="E472" s="21">
        <v>4</v>
      </c>
      <c r="F472" s="21">
        <v>5</v>
      </c>
    </row>
    <row r="473" spans="1:7">
      <c r="A473" s="21" t="s">
        <v>42</v>
      </c>
      <c r="B473" s="21">
        <v>164.989</v>
      </c>
      <c r="G473" s="21">
        <v>164.989</v>
      </c>
    </row>
    <row r="474" spans="1:7">
      <c r="A474" s="21" t="s">
        <v>54</v>
      </c>
      <c r="D474" s="21">
        <v>54.988999999999997</v>
      </c>
      <c r="G474" s="21">
        <v>54.988999999999997</v>
      </c>
    </row>
    <row r="475" spans="1:7">
      <c r="A475" s="21" t="s">
        <v>56</v>
      </c>
      <c r="B475" s="21">
        <v>142.989</v>
      </c>
      <c r="G475" s="21">
        <v>142.989</v>
      </c>
    </row>
    <row r="476" spans="1:7">
      <c r="A476" s="21" t="s">
        <v>28</v>
      </c>
      <c r="B476" s="21">
        <v>98.989000000000004</v>
      </c>
      <c r="G476" s="21">
        <v>98.989000000000004</v>
      </c>
    </row>
    <row r="477" spans="1:7">
      <c r="A477" s="21" t="s">
        <v>110</v>
      </c>
      <c r="C477" s="21">
        <v>76.989000000000004</v>
      </c>
      <c r="E477" s="21">
        <v>21.989000000000001</v>
      </c>
      <c r="G477" s="21">
        <v>98.977999999999994</v>
      </c>
    </row>
    <row r="478" spans="1:7">
      <c r="A478" s="21" t="s">
        <v>83</v>
      </c>
      <c r="B478" s="21">
        <v>219.989</v>
      </c>
      <c r="G478" s="21">
        <v>219.989</v>
      </c>
    </row>
    <row r="479" spans="1:7">
      <c r="A479" s="21" t="s">
        <v>95</v>
      </c>
      <c r="B479" s="21">
        <v>164.989</v>
      </c>
      <c r="D479" s="21">
        <v>43.988999999999997</v>
      </c>
      <c r="G479" s="21">
        <v>208.97800000000001</v>
      </c>
    </row>
    <row r="480" spans="1:7">
      <c r="A480" s="21" t="s">
        <v>24</v>
      </c>
      <c r="D480" s="21">
        <v>43.988999999999997</v>
      </c>
      <c r="G480" s="21">
        <v>43.988999999999997</v>
      </c>
    </row>
    <row r="481" spans="1:7">
      <c r="A481" s="21" t="s">
        <v>48</v>
      </c>
      <c r="B481" s="21">
        <v>219.989</v>
      </c>
      <c r="G481" s="21">
        <v>219.989</v>
      </c>
    </row>
    <row r="482" spans="1:7">
      <c r="A482" s="21" t="s">
        <v>67</v>
      </c>
      <c r="F482" s="21">
        <v>32.988999999999997</v>
      </c>
      <c r="G482" s="21">
        <v>32.988999999999997</v>
      </c>
    </row>
    <row r="483" spans="1:7">
      <c r="A483" s="21" t="s">
        <v>75</v>
      </c>
      <c r="E483" s="21">
        <v>21.989000000000001</v>
      </c>
      <c r="G483" s="21">
        <v>21.989000000000001</v>
      </c>
    </row>
    <row r="484" spans="1:7">
      <c r="A484" s="21" t="s">
        <v>118</v>
      </c>
      <c r="C484" s="21">
        <v>87.989000000000004</v>
      </c>
      <c r="G484" s="21">
        <v>87.989000000000004</v>
      </c>
    </row>
    <row r="485" spans="1:7">
      <c r="A485" s="21" t="s">
        <v>102</v>
      </c>
      <c r="D485" s="21">
        <v>54.988999999999997</v>
      </c>
      <c r="F485" s="21">
        <v>32.988999999999997</v>
      </c>
      <c r="G485" s="21">
        <v>87.977999999999994</v>
      </c>
    </row>
    <row r="486" spans="1:7">
      <c r="A486" s="21" t="s">
        <v>20</v>
      </c>
      <c r="B486" s="21">
        <v>472.96699999999998</v>
      </c>
      <c r="G486" s="21">
        <v>472.96699999999998</v>
      </c>
    </row>
    <row r="487" spans="1:7">
      <c r="A487" s="21" t="s">
        <v>18</v>
      </c>
      <c r="C487" s="21">
        <v>76.989000000000004</v>
      </c>
      <c r="E487" s="21">
        <v>43.978000000000002</v>
      </c>
      <c r="G487" s="21">
        <v>120.967</v>
      </c>
    </row>
    <row r="488" spans="1:7">
      <c r="A488" s="21" t="s">
        <v>65</v>
      </c>
      <c r="B488" s="21">
        <v>219.989</v>
      </c>
      <c r="G488" s="21">
        <v>219.989</v>
      </c>
    </row>
    <row r="489" spans="1:7">
      <c r="A489" s="21" t="s">
        <v>108</v>
      </c>
      <c r="B489" s="21">
        <v>307.97800000000001</v>
      </c>
      <c r="G489" s="21">
        <v>307.97800000000001</v>
      </c>
    </row>
    <row r="490" spans="1:7">
      <c r="A490" s="21" t="s">
        <v>81</v>
      </c>
      <c r="D490" s="21">
        <v>43.988999999999997</v>
      </c>
      <c r="G490" s="21">
        <v>43.988999999999997</v>
      </c>
    </row>
    <row r="491" spans="1:7">
      <c r="A491" s="21" t="s">
        <v>44</v>
      </c>
      <c r="C491" s="21">
        <v>76.989000000000004</v>
      </c>
      <c r="G491" s="21">
        <v>76.989000000000004</v>
      </c>
    </row>
    <row r="492" spans="1:7">
      <c r="A492" s="21" t="s">
        <v>14</v>
      </c>
      <c r="B492" s="21">
        <v>32.988999999999997</v>
      </c>
      <c r="G492" s="21">
        <v>32.988999999999997</v>
      </c>
    </row>
    <row r="493" spans="1:7">
      <c r="A493" s="21" t="s">
        <v>50</v>
      </c>
      <c r="B493" s="21">
        <v>219.989</v>
      </c>
      <c r="C493" s="21">
        <v>76.989000000000004</v>
      </c>
      <c r="F493" s="21">
        <v>32.988999999999997</v>
      </c>
      <c r="G493" s="21">
        <v>329.96699999999998</v>
      </c>
    </row>
    <row r="494" spans="1:7">
      <c r="A494" s="21" t="s">
        <v>112</v>
      </c>
      <c r="B494" s="21">
        <v>164.989</v>
      </c>
      <c r="D494" s="21">
        <v>43.988999999999997</v>
      </c>
      <c r="G494" s="21">
        <v>208.97800000000001</v>
      </c>
    </row>
    <row r="495" spans="1:7">
      <c r="A495" s="21" t="s">
        <v>69</v>
      </c>
      <c r="C495" s="21">
        <v>87.989000000000004</v>
      </c>
      <c r="G495" s="21">
        <v>87.989000000000004</v>
      </c>
    </row>
    <row r="496" spans="1:7">
      <c r="A496" s="21" t="s">
        <v>85</v>
      </c>
      <c r="F496" s="21">
        <v>32.988999999999997</v>
      </c>
      <c r="G496" s="21">
        <v>32.988999999999997</v>
      </c>
    </row>
    <row r="497" spans="1:7">
      <c r="A497" s="21" t="s">
        <v>38</v>
      </c>
      <c r="B497" s="21">
        <v>142.989</v>
      </c>
      <c r="G497" s="21">
        <v>142.989</v>
      </c>
    </row>
    <row r="498" spans="1:7">
      <c r="A498" s="21" t="s">
        <v>73</v>
      </c>
      <c r="B498" s="21">
        <v>142.989</v>
      </c>
      <c r="G498" s="21">
        <v>142.989</v>
      </c>
    </row>
    <row r="499" spans="1:7">
      <c r="A499" s="21" t="s">
        <v>58</v>
      </c>
      <c r="D499" s="21">
        <v>54.988999999999997</v>
      </c>
      <c r="E499" s="21">
        <v>21.989000000000001</v>
      </c>
      <c r="G499" s="21">
        <v>76.977999999999994</v>
      </c>
    </row>
    <row r="500" spans="1:7">
      <c r="A500" s="21" t="s">
        <v>116</v>
      </c>
      <c r="F500" s="21">
        <v>32.988999999999997</v>
      </c>
      <c r="G500" s="21">
        <v>32.988999999999997</v>
      </c>
    </row>
    <row r="501" spans="1:7">
      <c r="A501" s="21" t="s">
        <v>100</v>
      </c>
      <c r="B501" s="21">
        <v>219.989</v>
      </c>
      <c r="C501" s="21">
        <v>87.989000000000004</v>
      </c>
      <c r="G501" s="21">
        <v>307.97800000000001</v>
      </c>
    </row>
    <row r="502" spans="1:7">
      <c r="A502" s="21" t="s">
        <v>12</v>
      </c>
      <c r="C502" s="21">
        <v>54.988999999999997</v>
      </c>
      <c r="G502" s="21">
        <v>54.988999999999997</v>
      </c>
    </row>
    <row r="503" spans="1:7">
      <c r="A503" s="21" t="s">
        <v>30</v>
      </c>
      <c r="B503" s="21">
        <v>219.989</v>
      </c>
      <c r="G503" s="21">
        <v>219.989</v>
      </c>
    </row>
    <row r="504" spans="1:7">
      <c r="A504" s="21" t="s">
        <v>46</v>
      </c>
      <c r="D504" s="21">
        <v>43.988999999999997</v>
      </c>
      <c r="G504" s="21">
        <v>43.988999999999997</v>
      </c>
    </row>
    <row r="505" spans="1:7">
      <c r="A505" s="21" t="s">
        <v>22</v>
      </c>
      <c r="C505" s="21">
        <v>87.989000000000004</v>
      </c>
      <c r="G505" s="21">
        <v>87.989000000000004</v>
      </c>
    </row>
    <row r="506" spans="1:7">
      <c r="A506" s="21" t="s">
        <v>92</v>
      </c>
      <c r="B506" s="21">
        <v>307.97800000000001</v>
      </c>
      <c r="G506" s="21">
        <v>307.97800000000001</v>
      </c>
    </row>
    <row r="507" spans="1:7">
      <c r="A507" s="21" t="s">
        <v>79</v>
      </c>
      <c r="C507" s="21">
        <v>76.989000000000004</v>
      </c>
      <c r="G507" s="21">
        <v>76.989000000000004</v>
      </c>
    </row>
    <row r="508" spans="1:7">
      <c r="A508" s="21" t="s">
        <v>63</v>
      </c>
      <c r="D508" s="21">
        <v>43.988999999999997</v>
      </c>
      <c r="G508" s="21">
        <v>43.988999999999997</v>
      </c>
    </row>
    <row r="509" spans="1:7">
      <c r="A509" s="21" t="s">
        <v>106</v>
      </c>
      <c r="D509" s="21">
        <v>54.988999999999997</v>
      </c>
      <c r="E509" s="21">
        <v>21.989000000000001</v>
      </c>
      <c r="G509" s="21">
        <v>76.977999999999994</v>
      </c>
    </row>
    <row r="510" spans="1:7">
      <c r="A510" s="21" t="s">
        <v>40</v>
      </c>
      <c r="E510" s="21">
        <v>21.989000000000001</v>
      </c>
      <c r="G510" s="21">
        <v>21.989000000000001</v>
      </c>
    </row>
    <row r="511" spans="1:7">
      <c r="A511" s="21" t="s">
        <v>34</v>
      </c>
      <c r="C511" s="21">
        <v>87.989000000000004</v>
      </c>
      <c r="G511" s="21">
        <v>87.989000000000004</v>
      </c>
    </row>
    <row r="512" spans="1:7">
      <c r="A512" s="21" t="s">
        <v>114</v>
      </c>
      <c r="B512" s="21">
        <v>219.989</v>
      </c>
      <c r="G512" s="21">
        <v>219.989</v>
      </c>
    </row>
    <row r="513" spans="1:7">
      <c r="A513" s="21" t="s">
        <v>52</v>
      </c>
      <c r="C513" s="21">
        <v>87.989000000000004</v>
      </c>
      <c r="G513" s="21">
        <v>87.989000000000004</v>
      </c>
    </row>
    <row r="514" spans="1:7">
      <c r="A514" s="21" t="s">
        <v>16</v>
      </c>
      <c r="C514" s="21">
        <v>87.989000000000004</v>
      </c>
      <c r="D514" s="21">
        <v>109.989</v>
      </c>
      <c r="G514" s="21">
        <v>197.97800000000001</v>
      </c>
    </row>
    <row r="515" spans="1:7">
      <c r="A515" s="21" t="s">
        <v>98</v>
      </c>
      <c r="D515" s="21">
        <v>43.988999999999997</v>
      </c>
      <c r="F515" s="21">
        <v>32.988999999999997</v>
      </c>
      <c r="G515" s="21">
        <v>76.977999999999994</v>
      </c>
    </row>
    <row r="516" spans="1:7">
      <c r="A516" s="21" t="s">
        <v>71</v>
      </c>
      <c r="D516" s="21">
        <v>54.988999999999997</v>
      </c>
      <c r="G516" s="21">
        <v>54.988999999999997</v>
      </c>
    </row>
    <row r="517" spans="1:7">
      <c r="A517" s="21" t="s">
        <v>36</v>
      </c>
      <c r="D517" s="21">
        <v>54.988999999999997</v>
      </c>
      <c r="G517" s="21">
        <v>54.988999999999997</v>
      </c>
    </row>
    <row r="518" spans="1:7">
      <c r="A518" s="21" t="s">
        <v>26</v>
      </c>
      <c r="C518" s="21">
        <v>76.989000000000004</v>
      </c>
      <c r="G518" s="21">
        <v>76.989000000000004</v>
      </c>
    </row>
    <row r="519" spans="1:7">
      <c r="A519" s="21" t="s">
        <v>77</v>
      </c>
      <c r="B519" s="21">
        <v>164.989</v>
      </c>
      <c r="G519" s="21">
        <v>164.989</v>
      </c>
    </row>
    <row r="520" spans="1:7">
      <c r="A520" s="21" t="s">
        <v>104</v>
      </c>
      <c r="B520" s="21">
        <v>142.989</v>
      </c>
      <c r="C520" s="21">
        <v>87.989000000000004</v>
      </c>
      <c r="G520" s="21">
        <v>230.97800000000001</v>
      </c>
    </row>
    <row r="521" spans="1:7">
      <c r="A521" s="21" t="s">
        <v>90</v>
      </c>
      <c r="D521" s="21">
        <v>54.988999999999997</v>
      </c>
      <c r="E521" s="21">
        <v>21.989000000000001</v>
      </c>
      <c r="G521" s="21">
        <v>76.977999999999994</v>
      </c>
    </row>
    <row r="522" spans="1:7">
      <c r="A522" s="21" t="s">
        <v>61</v>
      </c>
      <c r="C522" s="21">
        <v>76.989000000000004</v>
      </c>
      <c r="G522" s="21">
        <v>76.989000000000004</v>
      </c>
    </row>
    <row r="523" spans="1:7">
      <c r="A523" s="21" t="s">
        <v>32</v>
      </c>
      <c r="F523" s="21">
        <v>32.988999999999997</v>
      </c>
      <c r="G523" s="21">
        <v>32.988999999999997</v>
      </c>
    </row>
    <row r="524" spans="1:7">
      <c r="A524" s="21" t="s">
        <v>133</v>
      </c>
      <c r="B524" s="21">
        <v>3992.7359999999999</v>
      </c>
      <c r="C524" s="21">
        <v>1297.8240000000001</v>
      </c>
      <c r="D524" s="21">
        <v>802.83500000000004</v>
      </c>
      <c r="E524" s="21">
        <v>175.91200000000001</v>
      </c>
      <c r="F524" s="21">
        <v>230.923</v>
      </c>
      <c r="G524" s="21">
        <v>6500.2299999999896</v>
      </c>
    </row>
    <row r="528" spans="1:7">
      <c r="A528" s="21" t="s">
        <v>132</v>
      </c>
    </row>
    <row r="529" spans="1:2">
      <c r="A529" s="21" t="s">
        <v>134</v>
      </c>
      <c r="B529" s="21">
        <v>54.988999999999997</v>
      </c>
    </row>
    <row r="530" spans="1:2">
      <c r="A530" s="21" t="s">
        <v>133</v>
      </c>
      <c r="B530" s="21">
        <v>54.988999999999997</v>
      </c>
    </row>
    <row r="549" spans="1:1">
      <c r="A549" s="21" t="s">
        <v>132</v>
      </c>
    </row>
    <row r="550" spans="1:1">
      <c r="A550" s="21" t="s">
        <v>133</v>
      </c>
    </row>
    <row r="566" spans="1:2">
      <c r="A566" s="21" t="s">
        <v>139</v>
      </c>
    </row>
    <row r="567" spans="1:2">
      <c r="A567" s="21" t="s">
        <v>159</v>
      </c>
      <c r="B567" s="21">
        <v>19.989999999999998</v>
      </c>
    </row>
    <row r="585" spans="1:2">
      <c r="A585" s="21" t="s">
        <v>132</v>
      </c>
    </row>
    <row r="586" spans="1:2">
      <c r="A586" s="21" t="s">
        <v>160</v>
      </c>
      <c r="B586" s="21">
        <v>8</v>
      </c>
    </row>
    <row r="587" spans="1:2">
      <c r="A587" s="21" t="s">
        <v>133</v>
      </c>
      <c r="B587" s="21">
        <v>8</v>
      </c>
    </row>
    <row r="603" spans="1:2">
      <c r="A603" s="21" t="s">
        <v>132</v>
      </c>
    </row>
    <row r="604" spans="1:2">
      <c r="A604" s="21" t="s">
        <v>134</v>
      </c>
      <c r="B604" s="21">
        <v>141</v>
      </c>
    </row>
    <row r="605" spans="1:2">
      <c r="A605" s="21" t="s">
        <v>135</v>
      </c>
      <c r="B605" s="21">
        <v>27</v>
      </c>
    </row>
    <row r="606" spans="1:2">
      <c r="A606" s="21" t="s">
        <v>133</v>
      </c>
      <c r="B606" s="21">
        <v>168</v>
      </c>
    </row>
    <row r="621" spans="1:1">
      <c r="A621" s="21" t="s">
        <v>144</v>
      </c>
    </row>
    <row r="623" spans="1:1">
      <c r="A623" s="21" t="s">
        <v>132</v>
      </c>
    </row>
    <row r="624" spans="1:1">
      <c r="A624" s="21" t="s">
        <v>143</v>
      </c>
    </row>
    <row r="625" spans="1:5">
      <c r="A625" s="21" t="s">
        <v>134</v>
      </c>
      <c r="C625" s="21">
        <v>84.227288135593099</v>
      </c>
      <c r="D625" s="21">
        <v>79.989999999999995</v>
      </c>
      <c r="E625" s="21">
        <v>84.022258064515995</v>
      </c>
    </row>
    <row r="626" spans="1:5">
      <c r="A626" s="21" t="s">
        <v>135</v>
      </c>
      <c r="D626" s="21">
        <v>87.49</v>
      </c>
      <c r="E626" s="21">
        <v>87.49</v>
      </c>
    </row>
    <row r="627" spans="1:5">
      <c r="A627" s="21" t="s">
        <v>133</v>
      </c>
      <c r="C627" s="21">
        <v>84.227288135593099</v>
      </c>
      <c r="D627" s="21">
        <v>85.444545454545505</v>
      </c>
      <c r="E627" s="21">
        <v>84.418571428571298</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showGridLines="0" topLeftCell="A9" zoomScale="106" zoomScaleNormal="106" workbookViewId="0">
      <selection activeCell="B1" sqref="B1"/>
    </sheetView>
  </sheetViews>
  <sheetFormatPr defaultRowHeight="14.25"/>
  <cols>
    <col min="10" max="10" width="9.25" customWidth="1"/>
  </cols>
  <sheetData>
    <row r="1" spans="1:10">
      <c r="A1" s="19"/>
      <c r="B1" s="19"/>
      <c r="C1" s="19"/>
      <c r="D1" s="19"/>
      <c r="E1" s="19"/>
      <c r="F1" s="19"/>
      <c r="G1" s="19"/>
      <c r="H1" s="19"/>
      <c r="I1" s="19"/>
      <c r="J1" s="19"/>
    </row>
    <row r="2" spans="1:10">
      <c r="A2" s="19"/>
      <c r="B2" s="19"/>
      <c r="C2" s="19"/>
      <c r="D2" s="19"/>
      <c r="E2" s="19"/>
      <c r="F2" s="19"/>
      <c r="G2" s="19"/>
      <c r="H2" s="19"/>
      <c r="I2" s="19"/>
      <c r="J2" s="19"/>
    </row>
    <row r="3" spans="1:10">
      <c r="A3" s="19"/>
      <c r="B3" s="19"/>
      <c r="C3" s="19"/>
      <c r="D3" s="20"/>
      <c r="E3" s="19"/>
      <c r="F3" s="19"/>
      <c r="G3" s="19"/>
      <c r="H3" s="19"/>
      <c r="I3" s="19"/>
      <c r="J3" s="19"/>
    </row>
    <row r="4" spans="1:10">
      <c r="A4" s="19"/>
      <c r="B4" s="19"/>
      <c r="C4" s="19"/>
      <c r="D4" s="19"/>
      <c r="E4" s="19"/>
      <c r="F4" s="19"/>
      <c r="G4" s="19"/>
      <c r="H4" s="19"/>
      <c r="I4" s="19"/>
      <c r="J4" s="19"/>
    </row>
    <row r="5" spans="1:10">
      <c r="A5" s="19"/>
      <c r="B5" s="19"/>
      <c r="C5" s="19"/>
      <c r="D5" s="19"/>
      <c r="E5" s="19"/>
      <c r="F5" s="19"/>
      <c r="G5" s="19"/>
      <c r="H5" s="19"/>
      <c r="I5" s="19"/>
      <c r="J5" s="19"/>
    </row>
    <row r="6" spans="1:10">
      <c r="A6" s="19"/>
      <c r="B6" s="19"/>
      <c r="C6" s="19"/>
      <c r="D6" s="19"/>
      <c r="E6" s="19"/>
      <c r="F6" s="19"/>
      <c r="G6" s="19"/>
      <c r="H6" s="19"/>
      <c r="I6" s="19"/>
      <c r="J6" s="19"/>
    </row>
    <row r="7" spans="1:10">
      <c r="A7" s="21"/>
      <c r="B7" s="19"/>
      <c r="C7" s="19"/>
      <c r="D7" s="19"/>
      <c r="E7" s="19"/>
      <c r="F7" s="19"/>
      <c r="G7" s="19"/>
      <c r="H7" s="19"/>
      <c r="I7" s="19"/>
      <c r="J7" s="19"/>
    </row>
    <row r="8" spans="1:10">
      <c r="A8" s="19"/>
      <c r="B8" s="19"/>
      <c r="C8" s="19"/>
      <c r="D8" s="19"/>
      <c r="E8" s="19"/>
      <c r="F8" s="19"/>
      <c r="G8" s="19"/>
      <c r="H8" s="19"/>
      <c r="I8" s="19"/>
      <c r="J8" s="19"/>
    </row>
    <row r="9" spans="1:10">
      <c r="A9" s="19"/>
      <c r="B9" s="19"/>
      <c r="C9" s="19"/>
      <c r="D9" s="19"/>
      <c r="E9" s="19"/>
      <c r="F9" s="19"/>
      <c r="G9" s="19"/>
      <c r="H9" s="19"/>
      <c r="I9" s="19"/>
      <c r="J9" s="1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Worksheet</vt:lpstr>
      <vt:lpstr>SuperMarket Sales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ADMIN</cp:lastModifiedBy>
  <dcterms:created xsi:type="dcterms:W3CDTF">2024-02-19T11:17:54Z</dcterms:created>
  <dcterms:modified xsi:type="dcterms:W3CDTF">2026-05-22T05:44:32Z</dcterms:modified>
</cp:coreProperties>
</file>